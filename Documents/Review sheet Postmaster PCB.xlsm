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DEV\ConnectivityNodes\Documents\WiFi\Review sheets\"/>
    </mc:Choice>
  </mc:AlternateContent>
  <xr:revisionPtr revIDLastSave="0" documentId="13_ncr:1_{86979AB7-1430-4625-9ACD-2AF61B65067B}" xr6:coauthVersionLast="46" xr6:coauthVersionMax="46" xr10:uidLastSave="{00000000-0000-0000-0000-000000000000}"/>
  <bookViews>
    <workbookView xWindow="-120" yWindow="-120" windowWidth="29040" windowHeight="17025" tabRatio="312" activeTab="2" xr2:uid="{00000000-000D-0000-FFFF-FFFF00000000}"/>
  </bookViews>
  <sheets>
    <sheet name="Template administration" sheetId="10" r:id="rId1"/>
    <sheet name="Metrics" sheetId="8" r:id="rId2"/>
    <sheet name="Logging" sheetId="4" r:id="rId3"/>
  </sheets>
  <definedNames>
    <definedName name="_NTC1">Metrics!$M$20</definedName>
    <definedName name="_NTC10">Metrics!$M$29</definedName>
    <definedName name="_NTC11">Metrics!$M$30</definedName>
    <definedName name="_NTC12">Metrics!$M$31</definedName>
    <definedName name="_NTC13">Metrics!$M$32</definedName>
    <definedName name="_NTC14">Metrics!$M$33</definedName>
    <definedName name="_NTC15">Metrics!$M$34</definedName>
    <definedName name="_NTC16">Metrics!$M$35</definedName>
    <definedName name="_NTC17">Metrics!$M$36</definedName>
    <definedName name="_NTC18">Metrics!$M$37</definedName>
    <definedName name="_NTC19">Metrics!$M$38</definedName>
    <definedName name="_NTC2">Metrics!$M$21</definedName>
    <definedName name="_NTC20">Metrics!$M$39</definedName>
    <definedName name="_NTC3">Metrics!$M$22</definedName>
    <definedName name="_NTC4">Metrics!$M$23</definedName>
    <definedName name="_NTC5">Metrics!$M$24</definedName>
    <definedName name="_NTC6">Metrics!$M$25</definedName>
    <definedName name="_NTC7">Metrics!$M$26</definedName>
    <definedName name="_NTC8">Metrics!$M$27</definedName>
    <definedName name="_NTC9">Metrics!$M$28</definedName>
    <definedName name="Author">Metrics!$E$12</definedName>
    <definedName name="BudgetNr">Metrics!$E$10</definedName>
    <definedName name="CountUnit">Metrics!$M$19</definedName>
    <definedName name="DocId">Metrics!$O$10</definedName>
    <definedName name="DocType">Metrics!$O$12</definedName>
    <definedName name="DocVersion">Metrics!$O$11</definedName>
    <definedName name="Effort1">Metrics!$K$20</definedName>
    <definedName name="Effort10">Metrics!$K$29</definedName>
    <definedName name="Effort11">Metrics!$K$30</definedName>
    <definedName name="Effort12">Metrics!$K$31</definedName>
    <definedName name="Effort13">Metrics!$K$32</definedName>
    <definedName name="Effort14">Metrics!$K$33</definedName>
    <definedName name="Effort15">Metrics!$K$34</definedName>
    <definedName name="Effort16">Metrics!$K$35</definedName>
    <definedName name="Effort17">Metrics!$K$36</definedName>
    <definedName name="Effort18">Metrics!$K$37</definedName>
    <definedName name="Effort19">Metrics!$K$38</definedName>
    <definedName name="Effort2">Metrics!$K$21</definedName>
    <definedName name="Effort20">Metrics!$K$39</definedName>
    <definedName name="Effort3">Metrics!$K$22</definedName>
    <definedName name="Effort4">Metrics!$K$23</definedName>
    <definedName name="Effort5">Metrics!$K$24</definedName>
    <definedName name="Effort6">Metrics!$K$25</definedName>
    <definedName name="Effort7">Metrics!$K$26</definedName>
    <definedName name="Effort8">Metrics!$K$27</definedName>
    <definedName name="Effort9">Metrics!$K$28</definedName>
    <definedName name="Focus1">Metrics!$H$20</definedName>
    <definedName name="Focus10">Metrics!$H$29</definedName>
    <definedName name="Focus11">Metrics!$H$30</definedName>
    <definedName name="Focus12">Metrics!$H$31</definedName>
    <definedName name="Focus13">Metrics!$H$32</definedName>
    <definedName name="Focus14">Metrics!$H$33</definedName>
    <definedName name="Focus15">Metrics!$H$34</definedName>
    <definedName name="Focus16">Metrics!$H$35</definedName>
    <definedName name="Focus17">Metrics!$H$36</definedName>
    <definedName name="Focus18">Metrics!$H$37</definedName>
    <definedName name="Focus19">Metrics!$H$38</definedName>
    <definedName name="Focus2">Metrics!$H$21</definedName>
    <definedName name="Focus20">Metrics!$H$39</definedName>
    <definedName name="Focus3">Metrics!$H$22</definedName>
    <definedName name="Focus4">Metrics!$H$23</definedName>
    <definedName name="Focus5">Metrics!$H$24</definedName>
    <definedName name="Focus6">Metrics!$H$25</definedName>
    <definedName name="Focus7">Metrics!$H$26</definedName>
    <definedName name="Focus8">Metrics!$H$27</definedName>
    <definedName name="Focus9">Metrics!$H$28</definedName>
    <definedName name="Initial1">Metrics!$D$20</definedName>
    <definedName name="Initial10">Metrics!$D$29</definedName>
    <definedName name="Initial11">Metrics!$D$30</definedName>
    <definedName name="Initial12">Metrics!$D$31</definedName>
    <definedName name="Initial13">Metrics!$D$32</definedName>
    <definedName name="Initial14">Metrics!$D$33</definedName>
    <definedName name="Initial15">Metrics!$D$34</definedName>
    <definedName name="Initial16">Metrics!$D$35</definedName>
    <definedName name="Initial17">Metrics!$D$36</definedName>
    <definedName name="Initial18">Metrics!$D$37</definedName>
    <definedName name="Initial19">Metrics!$D$38</definedName>
    <definedName name="Initial2">Metrics!$D$21</definedName>
    <definedName name="Initial20">Metrics!$D$39</definedName>
    <definedName name="Initial3">Metrics!$D$22</definedName>
    <definedName name="Initial4">Metrics!$D$23</definedName>
    <definedName name="Initial5">Metrics!$D$24</definedName>
    <definedName name="Initial6">Metrics!$D$25</definedName>
    <definedName name="Initial7">Metrics!$D$26</definedName>
    <definedName name="Initial8">Metrics!$D$27</definedName>
    <definedName name="Initial9">Metrics!$D$28</definedName>
    <definedName name="KickOffDate">Metrics!$E$17</definedName>
    <definedName name="KickOffLocation">Metrics!$F$17</definedName>
    <definedName name="KickOffTime">Metrics!$G$17</definedName>
    <definedName name="Logging1">Logging!#REF!</definedName>
    <definedName name="Major1">Metrics!$O$20</definedName>
    <definedName name="MaxDensity">Metrics!$I$1</definedName>
    <definedName name="MedDensity">Metrics!$I$2</definedName>
    <definedName name="MeetingDate">Metrics!$E$43</definedName>
    <definedName name="MeetingLocation">Metrics!$F$43</definedName>
    <definedName name="MeetingTime">Metrics!$G$43</definedName>
    <definedName name="MinDensity">Metrics!$I$3</definedName>
    <definedName name="Minor1">Metrics!$P$20</definedName>
    <definedName name="Moderator">Metrics!$E$12</definedName>
    <definedName name="Name1">Metrics!$E$20</definedName>
    <definedName name="Name10">Metrics!$E$29</definedName>
    <definedName name="Name11">Metrics!$E$30</definedName>
    <definedName name="Name12">Metrics!$E$31</definedName>
    <definedName name="Name13">Metrics!$E$32</definedName>
    <definedName name="Name14">Metrics!$E$33</definedName>
    <definedName name="Name15">Metrics!$E$34</definedName>
    <definedName name="Name16">Metrics!$E$35</definedName>
    <definedName name="Name17">Metrics!$E$36</definedName>
    <definedName name="Name18">Metrics!$E$37</definedName>
    <definedName name="Name19">Metrics!$E$38</definedName>
    <definedName name="Name2">Metrics!$E$21</definedName>
    <definedName name="Name20">Metrics!$E$39</definedName>
    <definedName name="Name3">Metrics!$E$22</definedName>
    <definedName name="Name4">Metrics!$E$23</definedName>
    <definedName name="Name5">Metrics!$E$24</definedName>
    <definedName name="Name6">Metrics!$E$25</definedName>
    <definedName name="Name7">Metrics!$E$26</definedName>
    <definedName name="Name8">Metrics!$E$27</definedName>
    <definedName name="Name9">Metrics!$E$28</definedName>
    <definedName name="NameLookup">Metrics!$D$20:$F$39</definedName>
    <definedName name="Notes">Metrics!$A$51</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1">Metrics!$A$1:$V$51</definedName>
    <definedName name="_xlnm.Print_Titles" localSheetId="2">Logging!$21:$26</definedName>
    <definedName name="Project">Metrics!$E$9</definedName>
    <definedName name="Question1">Metrics!$Q$20</definedName>
    <definedName name="ReviewId">Metrics!$E$11</definedName>
    <definedName name="ReviewSize">Metrics!#REF!</definedName>
    <definedName name="RwSevMajor">Metrics!$O$48</definedName>
    <definedName name="RwSevMinor">Metrics!$P$48</definedName>
    <definedName name="TargetDateRework">Metrics!$E$46</definedName>
    <definedName name="TargetDateVerification">Metrics!$E$48</definedName>
    <definedName name="Title">Metrics!$O$9</definedName>
    <definedName name="Verifier">Metrics!$F$48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 l="1"/>
  <c r="C23" i="4" l="1"/>
  <c r="C25" i="4" l="1"/>
  <c r="I22" i="4"/>
  <c r="C22" i="4" l="1"/>
  <c r="I25" i="4" l="1"/>
  <c r="I23" i="4"/>
  <c r="C24" i="4"/>
  <c r="A1" i="4" l="1"/>
  <c r="M9" i="4" s="1"/>
  <c r="A3" i="4"/>
  <c r="M11" i="4" s="1"/>
  <c r="A4" i="4"/>
  <c r="M12" i="4" s="1"/>
  <c r="A5" i="4"/>
  <c r="M13" i="4" s="1"/>
  <c r="A6" i="4"/>
  <c r="M14" i="4" s="1"/>
  <c r="A7" i="4"/>
  <c r="M15" i="4" s="1"/>
  <c r="A8" i="4"/>
  <c r="M16" i="4" s="1"/>
  <c r="A9" i="4"/>
  <c r="M17" i="4" s="1"/>
  <c r="A10" i="4"/>
  <c r="M18" i="4" s="1"/>
  <c r="A11" i="4"/>
  <c r="M19" i="4" s="1"/>
  <c r="A12" i="4"/>
  <c r="A13" i="4"/>
  <c r="A14" i="4"/>
  <c r="A15" i="4"/>
  <c r="A16" i="4"/>
  <c r="A17" i="4"/>
  <c r="A18" i="4"/>
  <c r="A19" i="4"/>
  <c r="A20" i="4"/>
  <c r="M20" i="4" s="1"/>
  <c r="G24" i="4"/>
  <c r="G25" i="4"/>
  <c r="G23" i="4"/>
  <c r="G22" i="4"/>
  <c r="K40" i="8"/>
  <c r="M3" i="4"/>
  <c r="M4" i="4"/>
  <c r="M5" i="4"/>
  <c r="M7" i="4"/>
  <c r="M8" i="4"/>
  <c r="A2" i="4"/>
  <c r="M10" i="4" s="1"/>
  <c r="I1" i="8"/>
  <c r="I2" i="8"/>
  <c r="I3" i="8"/>
  <c r="M40" i="8"/>
  <c r="O40" i="8"/>
  <c r="P40" i="8"/>
  <c r="Q40" i="8"/>
  <c r="M1" i="4"/>
  <c r="M2" i="4"/>
  <c r="M6" i="4"/>
  <c r="M21" i="4"/>
  <c r="A22" i="4"/>
  <c r="M22" i="4" s="1"/>
  <c r="A23" i="4"/>
  <c r="M23" i="4" s="1"/>
  <c r="A24" i="4"/>
  <c r="M24" i="4" s="1"/>
  <c r="A25" i="4"/>
  <c r="M25" i="4" s="1"/>
  <c r="M2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René</author>
  </authors>
  <commentList>
    <comment ref="A26" authorId="0" shapeId="0" xr:uid="{00000000-0006-0000-0200-000001000000}">
      <text>
        <r>
          <rPr>
            <sz val="8"/>
            <color indexed="81"/>
            <rFont val="Tahoma"/>
            <family val="2"/>
          </rPr>
          <t xml:space="preserve">Select the initials assigned to you in this list.
</t>
        </r>
      </text>
    </comment>
    <comment ref="B26" authorId="0" shapeId="0" xr:uid="{00000000-0006-0000-0200-000002000000}">
      <text>
        <r>
          <rPr>
            <b/>
            <sz val="8"/>
            <color indexed="81"/>
            <rFont val="Tahoma"/>
            <family val="2"/>
          </rPr>
          <t>Page number the remark was found on. For general remarks, use 0.</t>
        </r>
      </text>
    </comment>
    <comment ref="C26" authorId="0" shapeId="0" xr:uid="{00000000-0006-0000-0200-000003000000}">
      <text>
        <r>
          <rPr>
            <sz val="8"/>
            <color indexed="81"/>
            <rFont val="Tahoma"/>
            <family val="2"/>
          </rPr>
          <t>Line number the remark was found on. For general remarks, use 0.</t>
        </r>
      </text>
    </comment>
    <comment ref="D26" authorId="0" shapeId="0" xr:uid="{00000000-0006-0000-0200-000004000000}">
      <text>
        <r>
          <rPr>
            <b/>
            <sz val="8"/>
            <color indexed="81"/>
            <rFont val="Tahoma"/>
            <family val="2"/>
          </rPr>
          <t>Select a severity level for the remark found.</t>
        </r>
        <r>
          <rPr>
            <sz val="8"/>
            <color indexed="81"/>
            <rFont val="Tahoma"/>
            <family val="2"/>
          </rPr>
          <t xml:space="preserve">
</t>
        </r>
      </text>
    </comment>
    <comment ref="G26" authorId="0" shapeId="0" xr:uid="{00000000-0006-0000-0200-000005000000}">
      <text>
        <r>
          <rPr>
            <b/>
            <sz val="8"/>
            <color indexed="81"/>
            <rFont val="Tahoma"/>
            <family val="2"/>
          </rPr>
          <t>Indicate if the remark needs to be discussed.</t>
        </r>
        <r>
          <rPr>
            <sz val="8"/>
            <color indexed="81"/>
            <rFont val="Tahoma"/>
            <family val="2"/>
          </rPr>
          <t xml:space="preserve">
</t>
        </r>
      </text>
    </comment>
    <comment ref="H26" authorId="0" shapeId="0" xr:uid="{00000000-0006-0000-0200-000006000000}">
      <text>
        <r>
          <rPr>
            <b/>
            <sz val="8"/>
            <color indexed="81"/>
            <rFont val="Tahoma"/>
            <family val="2"/>
          </rPr>
          <t>Select actual severity level when reworking the document.</t>
        </r>
      </text>
    </comment>
    <comment ref="I26" authorId="0" shapeId="0" xr:uid="{00000000-0006-0000-0200-000007000000}">
      <text>
        <r>
          <rPr>
            <b/>
            <sz val="8"/>
            <color indexed="81"/>
            <rFont val="Tahoma"/>
            <family val="2"/>
          </rPr>
          <t xml:space="preserve">Indicate how the remark was handled during reworking.
</t>
        </r>
      </text>
    </comment>
    <comment ref="J26" authorId="0" shapeId="0" xr:uid="{00000000-0006-0000-0200-000008000000}">
      <text>
        <r>
          <rPr>
            <b/>
            <sz val="8"/>
            <color indexed="81"/>
            <rFont val="Tahoma"/>
            <family val="2"/>
          </rPr>
          <t>Select one of the predefined options</t>
        </r>
        <r>
          <rPr>
            <sz val="8"/>
            <color indexed="81"/>
            <rFont val="Tahoma"/>
            <family val="2"/>
          </rPr>
          <t xml:space="preserve">
</t>
        </r>
      </text>
    </comment>
    <comment ref="K26" authorId="0" shapeId="0" xr:uid="{00000000-0006-0000-0200-000009000000}">
      <text>
        <r>
          <rPr>
            <b/>
            <sz val="8"/>
            <color indexed="81"/>
            <rFont val="Tahoma"/>
            <family val="2"/>
          </rPr>
          <t>Name of Verifier</t>
        </r>
      </text>
    </comment>
    <comment ref="L26" authorId="0" shapeId="0" xr:uid="{00000000-0006-0000-0200-00000A00000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<sst xmlns="http://schemas.openxmlformats.org/spreadsheetml/2006/main" count="150" uniqueCount="121">
  <si>
    <t>MaxDensity</t>
  </si>
  <si>
    <t>Accept</t>
  </si>
  <si>
    <t>Rewrite</t>
  </si>
  <si>
    <t>Ok</t>
  </si>
  <si>
    <t>MedDensity</t>
  </si>
  <si>
    <t>Reject</t>
  </si>
  <si>
    <t>Correct</t>
  </si>
  <si>
    <t>Cancel</t>
  </si>
  <si>
    <t>MinDensity</t>
  </si>
  <si>
    <t>LogMajors</t>
  </si>
  <si>
    <t>Normal</t>
  </si>
  <si>
    <t>SkipLog</t>
  </si>
  <si>
    <t>NewTeam</t>
  </si>
  <si>
    <t>Yes</t>
  </si>
  <si>
    <t>Re-Inspect</t>
  </si>
  <si>
    <t>No</t>
  </si>
  <si>
    <t>METRICS COLLECTION SHEET</t>
  </si>
  <si>
    <t>Project Name</t>
  </si>
  <si>
    <t>Document Title</t>
  </si>
  <si>
    <t>Document Type</t>
  </si>
  <si>
    <t>Activity</t>
  </si>
  <si>
    <t>Prep Time (min)</t>
  </si>
  <si>
    <t>Size (lp/loc)</t>
  </si>
  <si>
    <t>Majors</t>
  </si>
  <si>
    <t>Minors</t>
  </si>
  <si>
    <t>Questions</t>
  </si>
  <si>
    <t>Name</t>
  </si>
  <si>
    <t>Role</t>
  </si>
  <si>
    <t>Viewpoint</t>
  </si>
  <si>
    <t>Present</t>
  </si>
  <si>
    <t>Review meeting</t>
  </si>
  <si>
    <t>Rework</t>
  </si>
  <si>
    <t>Verification</t>
  </si>
  <si>
    <t>Notes</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</si>
  <si>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</si>
  <si>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</si>
  <si>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</si>
  <si>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</si>
  <si>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</si>
  <si>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</si>
  <si>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</si>
  <si>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</si>
  <si>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</si>
  <si>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</si>
  <si>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</si>
  <si>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</si>
  <si>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</si>
  <si>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</si>
  <si>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</si>
  <si>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</si>
  <si>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</si>
  <si>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</si>
  <si>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</si>
  <si>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</si>
  <si>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</si>
  <si>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</si>
  <si>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</si>
  <si>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</si>
  <si>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Severity</t>
  </si>
  <si>
    <t>Rule</t>
  </si>
  <si>
    <t>Discuss</t>
  </si>
  <si>
    <t>Reworked Severity</t>
  </si>
  <si>
    <t>Verifier</t>
  </si>
  <si>
    <t>Result</t>
  </si>
  <si>
    <t>Remark</t>
  </si>
  <si>
    <t>Project Nr</t>
  </si>
  <si>
    <t>Line</t>
  </si>
  <si>
    <t>Page Nr
Sheet Nr</t>
  </si>
  <si>
    <t>Reviewer</t>
  </si>
  <si>
    <t>Assignee / Author</t>
  </si>
  <si>
    <t>Duration (min)</t>
  </si>
  <si>
    <t>Document Version</t>
  </si>
  <si>
    <t>Defects, Remarks &amp; Comments List</t>
  </si>
  <si>
    <t>Review ID / Quick Release ID</t>
  </si>
  <si>
    <t>Reviewer(s)</t>
  </si>
  <si>
    <t>Logical Pages</t>
  </si>
  <si>
    <t xml:space="preserve">Document ID </t>
  </si>
  <si>
    <t>Clerical</t>
  </si>
  <si>
    <t>Review Closure Date</t>
  </si>
  <si>
    <t>Review Initiation Date</t>
  </si>
  <si>
    <t>Comment (Arguments, Solution, Follow-up Actions, ...)</t>
  </si>
  <si>
    <t>Verified</t>
  </si>
  <si>
    <t>NamAbb</t>
  </si>
  <si>
    <t>© Koninklijke Philips Electronics N.V. 2011</t>
  </si>
  <si>
    <t>All rights reserved. Reproduction in whole or in part is prohibited without the written consent of the copyright owner.</t>
  </si>
  <si>
    <t>This Defect overview  is based on the Philips Research Review template QR-TEM-28, version 3.0 (September 2013)</t>
  </si>
  <si>
    <t>Date</t>
  </si>
  <si>
    <t>Reason for change</t>
  </si>
  <si>
    <t>Editor</t>
  </si>
  <si>
    <t>CR</t>
  </si>
  <si>
    <t>June 2011</t>
  </si>
  <si>
    <t>Original version, simplified version of former Apptech Peer review sheet.</t>
  </si>
  <si>
    <t>Simon Minderhoud</t>
  </si>
  <si>
    <t>Oct. 2012</t>
  </si>
  <si>
    <t>Macro design adapted to Office 2010</t>
  </si>
  <si>
    <t>Roel de Bruijne</t>
  </si>
  <si>
    <t>Nov. 2012</t>
  </si>
  <si>
    <t>Reference to Apptech Quality website removed after discussion with Robert Paul Berretti</t>
  </si>
  <si>
    <t>Sept. 2013</t>
  </si>
  <si>
    <t>Add explanation in an additional tab</t>
  </si>
  <si>
    <t>CR 113</t>
  </si>
  <si>
    <t>Mar. 2014</t>
  </si>
  <si>
    <t>Add "clerical" in Data set "Severity" column</t>
  </si>
  <si>
    <t>Significant simplification as a result of Change Request # 182</t>
  </si>
  <si>
    <t>Rob Kommeren</t>
  </si>
  <si>
    <t>CR 182</t>
  </si>
  <si>
    <t>update supporting auto collecting input from several reviewers</t>
  </si>
  <si>
    <t>Thijs Reijnders / Koos van Oorschot</t>
  </si>
  <si>
    <t>Ron Jaegers</t>
  </si>
  <si>
    <t>NA</t>
  </si>
  <si>
    <t>RicPet</t>
  </si>
  <si>
    <t>RobEke</t>
  </si>
  <si>
    <t>Richard Peters</t>
  </si>
  <si>
    <t>Rob Ekelmans</t>
  </si>
  <si>
    <t>MS-Word</t>
  </si>
  <si>
    <t>Postmaster</t>
  </si>
  <si>
    <t>3 Februari 2022</t>
  </si>
  <si>
    <t>Postmaster PCB</t>
  </si>
  <si>
    <t>ShaSon</t>
  </si>
  <si>
    <t>Shan Song</t>
  </si>
  <si>
    <t>RonJae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</si>
</sst>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0"/>
      <name val="Arial"/>
    </font>
    <font>
      <sz val="10"/>
      <name val="Arial"/>
      <family val="2"/>
    </font>
    <font>
      <sz val="8"/>
      <color indexed="81"/>
      <name val="Tahoma"/>
      <family val="2"/>
    </font>
    <font>
      <b/>
      <sz val="8"/>
      <color indexed="81"/>
      <name val="Tahoma"/>
      <family val="2"/>
    </font>
    <font>
      <sz val="10"/>
      <name val="Arial Narrow"/>
      <family val="2"/>
    </font>
    <font>
      <b/>
      <sz val="10"/>
      <name val="Arial Narrow"/>
      <family val="2"/>
    </font>
    <font>
      <b/>
      <sz val="11"/>
      <name val="Arial Narrow"/>
      <family val="2"/>
    </font>
    <font>
      <b/>
      <sz val="14"/>
      <name val="Arial Narrow"/>
      <family val="2"/>
    </font>
    <font>
      <sz val="10"/>
      <color rgb="FF000000"/>
      <name val="Arial"/>
      <family val="2"/>
    </font>
    <font>
      <sz val="8"/>
      <name val="Arial"/>
      <family val="2"/>
    </font>
    <font>
      <sz val="11"/>
      <name val="Calibri"/>
      <family val="2"/>
    </font>
  </fonts>
  <fills count="9">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
      <patternFill patternType="solid">
        <fgColor theme="0" tint="-0.14999847407452621"/>
        <bgColor indexed="64"/>
      </patternFill>
    </fill>
    <fill>
      <patternFill patternType="solid">
        <fgColor theme="0" tint="-4.9989318521683403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ck">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s>
  <cellStyleXfs count="1">
    <xf numFmtId="0" fontId="0" fillId="0" borderId="0"/>
  </cellStyleXfs>
  <cellXfs count="117">
    <xf numFmtId="0" fontId="0" fillId="0" borderId="0" xfId="0"/>
    <xf numFmtId="0" fontId="4" fillId="2" borderId="1" xfId="0" applyFont="1" applyFill="1" applyBorder="1" applyAlignment="1" applyProtection="1">
      <alignment horizontal="center" vertical="top" wrapText="1"/>
    </xf>
    <xf numFmtId="1" fontId="4" fillId="2" borderId="1" xfId="0" applyNumberFormat="1" applyFont="1" applyFill="1" applyBorder="1" applyAlignment="1" applyProtection="1">
      <alignment horizontal="center" vertical="top" wrapText="1"/>
      <protection locked="0"/>
    </xf>
    <xf numFmtId="0" fontId="4" fillId="2" borderId="1" xfId="0" applyFont="1" applyFill="1" applyBorder="1" applyAlignment="1" applyProtection="1">
      <alignment horizontal="center" vertical="top" wrapText="1"/>
      <protection locked="0"/>
    </xf>
    <xf numFmtId="0" fontId="4" fillId="2" borderId="1" xfId="0" applyFont="1" applyFill="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5" fillId="3" borderId="2" xfId="0" applyFont="1" applyFill="1" applyBorder="1" applyAlignment="1" applyProtection="1">
      <alignment horizontal="center" vertical="top" wrapText="1"/>
      <protection locked="0"/>
    </xf>
    <xf numFmtId="0" fontId="4" fillId="0" borderId="1" xfId="0" applyFont="1" applyBorder="1" applyAlignment="1" applyProtection="1">
      <alignment horizontal="center" vertical="top" wrapText="1"/>
      <protection locked="0"/>
    </xf>
    <xf numFmtId="49" fontId="4" fillId="3" borderId="1" xfId="0" applyNumberFormat="1" applyFont="1" applyFill="1" applyBorder="1" applyAlignment="1" applyProtection="1">
      <alignment horizontal="center" vertical="top" wrapText="1"/>
      <protection locked="0"/>
    </xf>
    <xf numFmtId="49" fontId="4" fillId="0" borderId="1" xfId="0" applyNumberFormat="1" applyFont="1" applyBorder="1" applyAlignment="1" applyProtection="1">
      <alignment horizontal="centerContinuous" vertical="top" wrapText="1"/>
      <protection locked="0"/>
    </xf>
    <xf numFmtId="49" fontId="4" fillId="0" borderId="1" xfId="0" applyNumberFormat="1" applyFont="1" applyFill="1" applyBorder="1" applyAlignment="1" applyProtection="1">
      <alignment horizontal="centerContinuous" vertical="top" wrapText="1"/>
      <protection locked="0"/>
    </xf>
    <xf numFmtId="1" fontId="4" fillId="0" borderId="1" xfId="0" applyNumberFormat="1" applyFont="1" applyBorder="1" applyAlignment="1" applyProtection="1">
      <alignment horizontal="center" vertical="top" wrapText="1"/>
      <protection locked="0"/>
    </xf>
    <xf numFmtId="0" fontId="4" fillId="7" borderId="1" xfId="0" applyFont="1" applyFill="1" applyBorder="1" applyAlignment="1" applyProtection="1">
      <alignment horizontal="center" vertical="top" wrapText="1"/>
      <protection locked="0"/>
    </xf>
    <xf numFmtId="0" fontId="4" fillId="7" borderId="1" xfId="0" applyFont="1" applyFill="1" applyBorder="1" applyAlignment="1" applyProtection="1">
      <alignment horizontal="left" vertical="top" wrapText="1"/>
      <protection locked="0"/>
    </xf>
    <xf numFmtId="0" fontId="4" fillId="0" borderId="0" xfId="0" applyFont="1" applyAlignment="1">
      <alignment horizontal="left"/>
    </xf>
    <xf numFmtId="0" fontId="4" fillId="0" borderId="0" xfId="0" applyFont="1" applyAlignment="1">
      <alignment horizontal="center"/>
    </xf>
    <xf numFmtId="0" fontId="4" fillId="0" borderId="0" xfId="0" applyFont="1" applyAlignment="1">
      <alignment horizontal="center" vertical="center"/>
    </xf>
    <xf numFmtId="0" fontId="4" fillId="0" borderId="1" xfId="0" applyFont="1" applyBorder="1" applyAlignment="1">
      <alignment horizontal="center"/>
    </xf>
    <xf numFmtId="1" fontId="4" fillId="0" borderId="0" xfId="0" applyNumberFormat="1" applyFont="1" applyAlignment="1">
      <alignment horizontal="center"/>
    </xf>
    <xf numFmtId="164" fontId="4" fillId="0" borderId="0" xfId="0" applyNumberFormat="1" applyFont="1" applyAlignment="1">
      <alignment horizontal="center"/>
    </xf>
    <xf numFmtId="0" fontId="4" fillId="0" borderId="0" xfId="0" applyFont="1" applyBorder="1" applyAlignment="1">
      <alignment horizontal="center"/>
    </xf>
    <xf numFmtId="2" fontId="4" fillId="0" borderId="0" xfId="0" applyNumberFormat="1" applyFont="1" applyAlignment="1">
      <alignment horizontal="center"/>
    </xf>
    <xf numFmtId="0" fontId="4" fillId="3" borderId="4" xfId="0" applyFont="1" applyFill="1" applyBorder="1" applyAlignment="1">
      <alignment horizontal="left"/>
    </xf>
    <xf numFmtId="0" fontId="4" fillId="3" borderId="2" xfId="0" applyFont="1" applyFill="1" applyBorder="1" applyAlignment="1">
      <alignment horizontal="left"/>
    </xf>
    <xf numFmtId="0" fontId="4" fillId="3" borderId="2" xfId="0" applyFont="1" applyFill="1" applyBorder="1" applyAlignment="1">
      <alignment horizontal="center"/>
    </xf>
    <xf numFmtId="1" fontId="4" fillId="3" borderId="2" xfId="0" applyNumberFormat="1" applyFont="1" applyFill="1" applyBorder="1" applyAlignment="1">
      <alignment horizontal="center"/>
    </xf>
    <xf numFmtId="164" fontId="4" fillId="3" borderId="2" xfId="0" applyNumberFormat="1" applyFont="1" applyFill="1" applyBorder="1" applyAlignment="1">
      <alignment horizontal="center"/>
    </xf>
    <xf numFmtId="0" fontId="4" fillId="3" borderId="3" xfId="0" applyFont="1" applyFill="1" applyBorder="1" applyAlignment="1">
      <alignment horizontal="left"/>
    </xf>
    <xf numFmtId="0" fontId="4" fillId="2" borderId="5" xfId="0" applyFont="1" applyFill="1" applyBorder="1" applyAlignment="1">
      <alignment horizontal="left"/>
    </xf>
    <xf numFmtId="0" fontId="4" fillId="2" borderId="6" xfId="0" applyFont="1" applyFill="1" applyBorder="1" applyAlignment="1">
      <alignment horizontal="left"/>
    </xf>
    <xf numFmtId="0" fontId="4" fillId="2" borderId="6" xfId="0" applyFont="1" applyFill="1" applyBorder="1" applyAlignment="1">
      <alignment horizontal="center"/>
    </xf>
    <xf numFmtId="1" fontId="4" fillId="2" borderId="6" xfId="0" applyNumberFormat="1" applyFont="1" applyFill="1" applyBorder="1" applyAlignment="1">
      <alignment horizontal="center"/>
    </xf>
    <xf numFmtId="164" fontId="4" fillId="2" borderId="6" xfId="0" applyNumberFormat="1" applyFont="1" applyFill="1" applyBorder="1" applyAlignment="1">
      <alignment horizontal="center"/>
    </xf>
    <xf numFmtId="0" fontId="4" fillId="2" borderId="7" xfId="0" applyFont="1" applyFill="1" applyBorder="1" applyAlignment="1">
      <alignment horizontal="left"/>
    </xf>
    <xf numFmtId="0" fontId="4" fillId="2" borderId="8" xfId="0" applyFont="1" applyFill="1" applyBorder="1" applyAlignment="1">
      <alignment horizontal="left"/>
    </xf>
    <xf numFmtId="0" fontId="4" fillId="2" borderId="0" xfId="0" applyFont="1" applyFill="1" applyBorder="1" applyAlignment="1">
      <alignment horizontal="left"/>
    </xf>
    <xf numFmtId="0" fontId="4" fillId="2" borderId="0" xfId="0" applyFont="1" applyFill="1" applyBorder="1" applyAlignment="1">
      <alignment horizontal="center"/>
    </xf>
    <xf numFmtId="1" fontId="4" fillId="2" borderId="0" xfId="0" applyNumberFormat="1" applyFont="1" applyFill="1" applyBorder="1" applyAlignment="1">
      <alignment horizontal="center"/>
    </xf>
    <xf numFmtId="164" fontId="4" fillId="2" borderId="0" xfId="0" applyNumberFormat="1" applyFont="1" applyFill="1" applyBorder="1" applyAlignment="1">
      <alignment horizontal="center"/>
    </xf>
    <xf numFmtId="0" fontId="4" fillId="2" borderId="9" xfId="0" applyFont="1" applyFill="1" applyBorder="1" applyAlignment="1">
      <alignment horizontal="left"/>
    </xf>
    <xf numFmtId="0" fontId="5" fillId="2" borderId="0" xfId="0" applyFont="1" applyFill="1" applyBorder="1" applyAlignment="1">
      <alignment horizontal="left"/>
    </xf>
    <xf numFmtId="1" fontId="4" fillId="2" borderId="1" xfId="0" applyNumberFormat="1" applyFont="1" applyFill="1" applyBorder="1" applyAlignment="1" applyProtection="1">
      <alignment horizontal="center"/>
      <protection locked="0"/>
    </xf>
    <xf numFmtId="1" fontId="4" fillId="2" borderId="1" xfId="0" applyNumberFormat="1" applyFont="1" applyFill="1" applyBorder="1" applyAlignment="1" applyProtection="1">
      <alignment horizontal="center" wrapText="1"/>
      <protection locked="0"/>
    </xf>
    <xf numFmtId="0" fontId="4" fillId="2" borderId="8" xfId="0" applyFont="1" applyFill="1" applyBorder="1" applyAlignment="1">
      <alignment horizontal="right"/>
    </xf>
    <xf numFmtId="0" fontId="4" fillId="2" borderId="0" xfId="0" applyFont="1" applyFill="1" applyBorder="1" applyAlignment="1">
      <alignment horizontal="right"/>
    </xf>
    <xf numFmtId="0" fontId="4" fillId="4" borderId="1" xfId="0" applyFont="1" applyFill="1" applyBorder="1" applyAlignment="1" applyProtection="1">
      <alignment horizontal="center" vertical="center"/>
      <protection locked="0"/>
    </xf>
    <xf numFmtId="0" fontId="4" fillId="4" borderId="4" xfId="0" applyFont="1" applyFill="1" applyBorder="1" applyAlignment="1" applyProtection="1">
      <alignment horizontal="left" vertical="center"/>
      <protection locked="0"/>
    </xf>
    <xf numFmtId="0" fontId="4" fillId="4" borderId="3" xfId="0" applyFont="1" applyFill="1" applyBorder="1" applyAlignment="1" applyProtection="1">
      <alignment horizontal="left" vertical="center"/>
      <protection locked="0"/>
    </xf>
    <xf numFmtId="1" fontId="4" fillId="5" borderId="1" xfId="0" applyNumberFormat="1" applyFont="1" applyFill="1" applyBorder="1" applyAlignment="1" applyProtection="1">
      <alignment horizontal="center" vertical="center"/>
      <protection locked="0"/>
    </xf>
    <xf numFmtId="0" fontId="4" fillId="2" borderId="9" xfId="0" applyFont="1" applyFill="1" applyBorder="1" applyAlignment="1">
      <alignment horizontal="right"/>
    </xf>
    <xf numFmtId="1" fontId="4" fillId="5" borderId="1" xfId="0" quotePrefix="1" applyNumberFormat="1" applyFont="1" applyFill="1" applyBorder="1" applyAlignment="1" applyProtection="1">
      <alignment horizontal="center" vertical="center"/>
      <protection locked="0"/>
    </xf>
    <xf numFmtId="1" fontId="4" fillId="4" borderId="10" xfId="0" applyNumberFormat="1" applyFont="1" applyFill="1" applyBorder="1" applyAlignment="1" applyProtection="1">
      <alignment horizontal="center" vertical="center"/>
      <protection locked="0"/>
    </xf>
    <xf numFmtId="1" fontId="4" fillId="6" borderId="1" xfId="0" quotePrefix="1" applyNumberFormat="1" applyFont="1" applyFill="1" applyBorder="1" applyAlignment="1" applyProtection="1">
      <alignment horizontal="center" vertical="center"/>
      <protection locked="0"/>
    </xf>
    <xf numFmtId="0" fontId="1" fillId="0" borderId="0" xfId="0" applyFont="1"/>
    <xf numFmtId="0" fontId="9" fillId="0" borderId="11" xfId="0" applyFont="1" applyBorder="1" applyAlignment="1">
      <alignment horizontal="left" vertical="top" wrapText="1" indent="1"/>
    </xf>
    <xf numFmtId="0" fontId="0" fillId="0" borderId="12" xfId="0" applyBorder="1" applyAlignment="1">
      <alignment horizontal="left" vertical="top" wrapText="1" indent="1"/>
    </xf>
    <xf numFmtId="0" fontId="9" fillId="0" borderId="12" xfId="0" applyFont="1" applyBorder="1" applyAlignment="1">
      <alignment horizontal="left" vertical="top" wrapText="1" indent="1"/>
    </xf>
    <xf numFmtId="0" fontId="9" fillId="0" borderId="13" xfId="0" applyFont="1" applyBorder="1" applyAlignment="1">
      <alignment horizontal="left" vertical="top" wrapText="1" indent="1"/>
    </xf>
    <xf numFmtId="0" fontId="1" fillId="8" borderId="0" xfId="0" applyFont="1" applyFill="1"/>
    <xf numFmtId="17" fontId="0" fillId="0" borderId="0" xfId="0" applyNumberFormat="1"/>
    <xf numFmtId="0" fontId="1" fillId="0" borderId="1" xfId="0" applyNumberFormat="1" applyFont="1" applyBorder="1" applyAlignment="1">
      <alignment horizontal="center" vertical="top" wrapText="1"/>
    </xf>
    <xf numFmtId="0" fontId="0" fillId="0" borderId="1" xfId="0" applyNumberFormat="1" applyBorder="1" applyAlignment="1">
      <alignment horizontal="center" vertical="top" wrapText="1"/>
    </xf>
    <xf numFmtId="0" fontId="1" fillId="0" borderId="1" xfId="0" applyNumberFormat="1" applyFont="1" applyBorder="1" applyAlignment="1">
      <alignment horizontal="left" vertical="top" wrapText="1"/>
    </xf>
    <xf numFmtId="0" fontId="10" fillId="0" borderId="1" xfId="0" applyFont="1" applyBorder="1" applyAlignment="1">
      <alignment vertical="center"/>
    </xf>
    <xf numFmtId="17" fontId="1" fillId="0" borderId="1" xfId="0" applyNumberFormat="1" applyFont="1" applyBorder="1" applyAlignment="1">
      <alignment horizontal="center" vertical="top" wrapText="1"/>
    </xf>
    <xf numFmtId="0" fontId="1" fillId="0" borderId="1" xfId="0" applyFont="1" applyBorder="1" applyAlignment="1">
      <alignment vertical="center" wrapText="1"/>
    </xf>
    <xf numFmtId="17" fontId="1" fillId="0" borderId="1" xfId="0" quotePrefix="1" applyNumberFormat="1" applyFont="1" applyBorder="1" applyAlignment="1">
      <alignment horizontal="center" vertical="top" wrapText="1"/>
    </xf>
    <xf numFmtId="0" fontId="1" fillId="0" borderId="1" xfId="0" quotePrefix="1" applyNumberFormat="1" applyFont="1" applyBorder="1" applyAlignment="1">
      <alignment horizontal="center" vertical="top" wrapText="1"/>
    </xf>
    <xf numFmtId="0" fontId="1" fillId="0" borderId="3" xfId="0" applyFont="1" applyBorder="1"/>
    <xf numFmtId="0" fontId="1" fillId="0" borderId="1" xfId="0" applyFont="1" applyBorder="1" applyAlignment="1">
      <alignment horizontal="center" vertical="top" wrapText="1"/>
    </xf>
    <xf numFmtId="0" fontId="1" fillId="0" borderId="1" xfId="0" quotePrefix="1" applyFont="1" applyBorder="1" applyAlignment="1">
      <alignment horizontal="center" vertical="top" wrapText="1"/>
    </xf>
    <xf numFmtId="0" fontId="1" fillId="0" borderId="1" xfId="0" applyFont="1" applyBorder="1" applyAlignment="1">
      <alignment horizontal="left" vertical="top" wrapText="1"/>
    </xf>
    <xf numFmtId="0" fontId="0" fillId="0" borderId="1" xfId="0" applyBorder="1" applyAlignment="1">
      <alignment horizontal="center" vertical="top" wrapText="1"/>
    </xf>
    <xf numFmtId="0" fontId="10" fillId="0" borderId="1" xfId="0" applyFont="1" applyBorder="1" applyAlignment="1">
      <alignment vertical="center" wrapText="1"/>
    </xf>
    <xf numFmtId="0" fontId="0" fillId="0" borderId="3" xfId="0" applyBorder="1"/>
    <xf numFmtId="0" fontId="1" fillId="0" borderId="1" xfId="0" quotePrefix="1"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1" fillId="0" borderId="1" xfId="0" quotePrefix="1" applyFont="1" applyBorder="1" applyAlignment="1">
      <alignment horizontal="left" vertical="top" wrapText="1"/>
    </xf>
    <xf numFmtId="16" fontId="1" fillId="0" borderId="1" xfId="0" applyNumberFormat="1" applyFont="1" applyBorder="1" applyAlignment="1">
      <alignment horizontal="center" vertical="top" wrapText="1"/>
    </xf>
    <xf numFmtId="0" fontId="1" fillId="0" borderId="1" xfId="0" applyFont="1" applyBorder="1"/>
    <xf numFmtId="0" fontId="4" fillId="0" borderId="14" xfId="0" applyFont="1" applyBorder="1" applyAlignment="1" applyProtection="1">
      <alignment horizontal="center" vertical="top" wrapText="1"/>
      <protection locked="0"/>
    </xf>
    <xf numFmtId="0" fontId="4" fillId="0" borderId="3" xfId="0" applyFont="1" applyBorder="1" applyAlignment="1" applyProtection="1">
      <alignment horizontal="center" vertical="top" wrapText="1"/>
      <protection locked="0"/>
    </xf>
    <xf numFmtId="0" fontId="4" fillId="4" borderId="4" xfId="0" applyFont="1" applyFill="1" applyBorder="1" applyAlignment="1" applyProtection="1">
      <alignment horizontal="left" vertical="center"/>
      <protection locked="0"/>
    </xf>
    <xf numFmtId="0" fontId="0" fillId="0" borderId="14" xfId="0" applyBorder="1"/>
    <xf numFmtId="0" fontId="1" fillId="0" borderId="1" xfId="0" applyFont="1" applyBorder="1" applyAlignment="1">
      <alignment horizontal="center"/>
    </xf>
    <xf numFmtId="0" fontId="4" fillId="3" borderId="4" xfId="0" applyFont="1" applyFill="1" applyBorder="1" applyAlignment="1" applyProtection="1">
      <alignment horizontal="left" vertical="center"/>
    </xf>
    <xf numFmtId="0" fontId="1" fillId="0" borderId="2" xfId="0" applyFont="1" applyBorder="1" applyAlignment="1"/>
    <xf numFmtId="0" fontId="1" fillId="0" borderId="3" xfId="0" applyFont="1" applyBorder="1" applyAlignment="1"/>
    <xf numFmtId="49" fontId="4" fillId="4" borderId="2" xfId="0" applyNumberFormat="1" applyFont="1" applyFill="1" applyBorder="1" applyAlignment="1" applyProtection="1">
      <alignment horizontal="left"/>
      <protection locked="0"/>
    </xf>
    <xf numFmtId="0" fontId="1" fillId="4" borderId="2" xfId="0" applyFont="1" applyFill="1" applyBorder="1" applyAlignment="1">
      <alignment horizontal="left"/>
    </xf>
    <xf numFmtId="0" fontId="1" fillId="4" borderId="3" xfId="0" applyFont="1" applyFill="1" applyBorder="1" applyAlignment="1">
      <alignment horizontal="left"/>
    </xf>
    <xf numFmtId="49" fontId="4" fillId="4" borderId="4" xfId="0" applyNumberFormat="1" applyFont="1" applyFill="1" applyBorder="1" applyAlignment="1" applyProtection="1">
      <alignment horizontal="left"/>
      <protection locked="0"/>
    </xf>
    <xf numFmtId="49" fontId="4" fillId="4" borderId="3" xfId="0" applyNumberFormat="1" applyFont="1" applyFill="1" applyBorder="1" applyAlignment="1" applyProtection="1">
      <alignment horizontal="left"/>
      <protection locked="0"/>
    </xf>
    <xf numFmtId="0" fontId="4" fillId="4" borderId="4" xfId="0" applyFont="1" applyFill="1" applyBorder="1" applyAlignment="1" applyProtection="1">
      <alignment horizontal="left" vertical="center"/>
      <protection locked="0"/>
    </xf>
    <xf numFmtId="0" fontId="4" fillId="4" borderId="3" xfId="0" applyFont="1" applyFill="1" applyBorder="1" applyAlignment="1" applyProtection="1">
      <alignment horizontal="left" vertical="center"/>
      <protection locked="0"/>
    </xf>
    <xf numFmtId="0" fontId="4" fillId="0" borderId="4" xfId="0" applyNumberFormat="1" applyFont="1" applyBorder="1" applyAlignment="1" applyProtection="1">
      <alignment horizontal="left" vertical="top" wrapText="1"/>
      <protection locked="0"/>
    </xf>
    <xf numFmtId="0" fontId="4" fillId="0" borderId="2" xfId="0" applyNumberFormat="1" applyFont="1" applyBorder="1" applyAlignment="1" applyProtection="1">
      <alignment horizontal="left" vertical="top" wrapText="1"/>
      <protection locked="0"/>
    </xf>
    <xf numFmtId="0" fontId="4" fillId="0" borderId="3" xfId="0" applyNumberFormat="1" applyFont="1" applyBorder="1" applyAlignment="1" applyProtection="1">
      <alignment horizontal="left" vertical="top" wrapText="1"/>
      <protection locked="0"/>
    </xf>
    <xf numFmtId="0" fontId="4" fillId="2" borderId="0" xfId="0" applyFont="1" applyFill="1" applyBorder="1" applyAlignment="1">
      <alignment horizontal="center"/>
    </xf>
    <xf numFmtId="1" fontId="4" fillId="2" borderId="0" xfId="0" applyNumberFormat="1" applyFont="1" applyFill="1" applyBorder="1" applyAlignment="1" applyProtection="1">
      <alignment horizontal="center" wrapText="1"/>
      <protection locked="0"/>
    </xf>
    <xf numFmtId="0" fontId="1" fillId="0" borderId="0" xfId="0" applyFont="1" applyBorder="1" applyAlignment="1">
      <alignment horizontal="center" wrapText="1"/>
    </xf>
    <xf numFmtId="1" fontId="4" fillId="2" borderId="4" xfId="0" applyNumberFormat="1" applyFont="1" applyFill="1" applyBorder="1" applyAlignment="1" applyProtection="1">
      <alignment horizontal="center"/>
      <protection locked="0"/>
    </xf>
    <xf numFmtId="0" fontId="1" fillId="0" borderId="3" xfId="0" applyFont="1" applyBorder="1" applyAlignment="1">
      <alignment horizontal="center"/>
    </xf>
    <xf numFmtId="1" fontId="4" fillId="2" borderId="3" xfId="0" applyNumberFormat="1" applyFont="1" applyFill="1" applyBorder="1" applyAlignment="1" applyProtection="1">
      <alignment horizontal="center"/>
      <protection locked="0"/>
    </xf>
    <xf numFmtId="0" fontId="6" fillId="3" borderId="4" xfId="0" applyFont="1" applyFill="1" applyBorder="1" applyAlignment="1">
      <alignment horizontal="center"/>
    </xf>
    <xf numFmtId="0" fontId="6" fillId="3" borderId="2" xfId="0" applyFont="1" applyFill="1" applyBorder="1" applyAlignment="1">
      <alignment horizontal="center"/>
    </xf>
    <xf numFmtId="0" fontId="6" fillId="3" borderId="3" xfId="0" applyFont="1" applyFill="1" applyBorder="1" applyAlignment="1">
      <alignment horizontal="center"/>
    </xf>
    <xf numFmtId="0" fontId="7" fillId="3" borderId="4" xfId="0" applyFont="1" applyFill="1" applyBorder="1" applyAlignment="1" applyProtection="1">
      <alignment horizontal="center" vertical="top"/>
      <protection locked="0"/>
    </xf>
    <xf numFmtId="0" fontId="7" fillId="3" borderId="2" xfId="0" applyFont="1" applyFill="1" applyBorder="1" applyAlignment="1" applyProtection="1">
      <alignment horizontal="center" vertical="top"/>
      <protection locked="0"/>
    </xf>
    <xf numFmtId="0" fontId="7" fillId="3" borderId="3" xfId="0" applyFont="1" applyFill="1" applyBorder="1" applyAlignment="1" applyProtection="1">
      <alignment horizontal="center" vertical="top"/>
      <protection locked="0"/>
    </xf>
    <xf numFmtId="0" fontId="4" fillId="2" borderId="4" xfId="0" applyFont="1" applyFill="1" applyBorder="1" applyAlignment="1" applyProtection="1">
      <alignment horizontal="left" vertical="top"/>
      <protection locked="0"/>
    </xf>
    <xf numFmtId="0" fontId="0" fillId="0" borderId="2" xfId="0" applyBorder="1" applyAlignment="1">
      <alignment horizontal="left" vertical="top"/>
    </xf>
    <xf numFmtId="0" fontId="0" fillId="0" borderId="3" xfId="0" applyBorder="1" applyAlignment="1">
      <alignment horizontal="left" vertical="top"/>
    </xf>
    <xf numFmtId="0" fontId="0" fillId="0" borderId="3" xfId="0" applyBorder="1" applyAlignment="1">
      <alignment horizontal="left"/>
    </xf>
    <xf numFmtId="0" fontId="4" fillId="3" borderId="4" xfId="0" applyFont="1" applyFill="1" applyBorder="1" applyAlignment="1" applyProtection="1">
      <alignment horizontal="left" vertical="top"/>
      <protection locked="0"/>
    </xf>
    <xf numFmtId="0" fontId="4" fillId="2" borderId="2" xfId="0" applyFont="1" applyFill="1" applyBorder="1" applyAlignment="1" applyProtection="1">
      <alignment horizontal="left" vertical="top"/>
      <protection locked="0"/>
    </xf>
    <xf numFmtId="0" fontId="4" fillId="2" borderId="3" xfId="0" applyFont="1" applyFill="1" applyBorder="1" applyAlignment="1" applyProtection="1">
      <alignment horizontal="left" vertical="top"/>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5.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123825</xdr:colOff>
          <xdr:row>16</xdr:row>
          <xdr:rowOff>95250</xdr:rowOff>
        </xdr:from>
        <xdr:to>
          <xdr:col>17</xdr:col>
          <xdr:colOff>0</xdr:colOff>
          <xdr:row>18</xdr:row>
          <xdr:rowOff>95250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428625</xdr:colOff>
          <xdr:row>20</xdr:row>
          <xdr:rowOff>19050</xdr:rowOff>
        </xdr:from>
        <xdr:to>
          <xdr:col>5</xdr:col>
          <xdr:colOff>714375</xdr:colOff>
          <xdr:row>21</xdr:row>
          <xdr:rowOff>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200-00003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723900</xdr:colOff>
          <xdr:row>20</xdr:row>
          <xdr:rowOff>19050</xdr:rowOff>
        </xdr:from>
        <xdr:to>
          <xdr:col>5</xdr:col>
          <xdr:colOff>2009775</xdr:colOff>
          <xdr:row>21</xdr:row>
          <xdr:rowOff>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D17"/>
  <sheetViews>
    <sheetView workbookViewId="0">
      <selection activeCell="B17" sqref="B17"/>
    </sheetView>
  </sheetViews>
  <sheetFormatPr defaultRowHeight="12.75" x14ac:dyDescent="0.2"/>
  <cols>
    <col min="1" max="1" width="10" bestFit="1" customWidth="1"/>
    <col min="2" max="2" width="82.42578125" customWidth="1"/>
    <col min="3" max="3" width="33.28515625" customWidth="1"/>
  </cols>
  <sheetData>
    <row r="2" spans="1:4" ht="13.5" thickBot="1" x14ac:dyDescent="0.25"/>
    <row r="3" spans="1:4" x14ac:dyDescent="0.2">
      <c r="B3" s="54" t="s">
        <v>83</v>
      </c>
    </row>
    <row r="4" spans="1:4" x14ac:dyDescent="0.2">
      <c r="B4" s="55"/>
    </row>
    <row r="5" spans="1:4" ht="22.5" x14ac:dyDescent="0.2">
      <c r="B5" s="56" t="s">
        <v>84</v>
      </c>
    </row>
    <row r="6" spans="1:4" x14ac:dyDescent="0.2">
      <c r="B6" s="56"/>
    </row>
    <row r="7" spans="1:4" ht="23.25" thickBot="1" x14ac:dyDescent="0.25">
      <c r="B7" s="57" t="s">
        <v>85</v>
      </c>
    </row>
    <row r="9" spans="1:4" x14ac:dyDescent="0.2">
      <c r="A9" s="58" t="s">
        <v>86</v>
      </c>
      <c r="B9" s="58" t="s">
        <v>87</v>
      </c>
      <c r="C9" s="58" t="s">
        <v>88</v>
      </c>
      <c r="D9" s="58" t="s">
        <v>89</v>
      </c>
    </row>
    <row r="11" spans="1:4" x14ac:dyDescent="0.2">
      <c r="A11" s="53" t="s">
        <v>90</v>
      </c>
      <c r="B11" s="53" t="s">
        <v>91</v>
      </c>
      <c r="C11" s="53" t="s">
        <v>92</v>
      </c>
    </row>
    <row r="12" spans="1:4" x14ac:dyDescent="0.2">
      <c r="A12" s="53" t="s">
        <v>93</v>
      </c>
      <c r="B12" s="53" t="s">
        <v>94</v>
      </c>
      <c r="C12" s="53" t="s">
        <v>95</v>
      </c>
    </row>
    <row r="13" spans="1:4" x14ac:dyDescent="0.2">
      <c r="A13" s="53" t="s">
        <v>96</v>
      </c>
      <c r="B13" s="53" t="s">
        <v>97</v>
      </c>
      <c r="C13" s="53" t="s">
        <v>95</v>
      </c>
    </row>
    <row r="14" spans="1:4" x14ac:dyDescent="0.2">
      <c r="A14" s="53" t="s">
        <v>98</v>
      </c>
      <c r="B14" s="53" t="s">
        <v>99</v>
      </c>
      <c r="C14" s="53" t="s">
        <v>95</v>
      </c>
      <c r="D14" s="53" t="s">
        <v>100</v>
      </c>
    </row>
    <row r="15" spans="1:4" x14ac:dyDescent="0.2">
      <c r="A15" s="53" t="s">
        <v>101</v>
      </c>
      <c r="B15" s="53" t="s">
        <v>102</v>
      </c>
      <c r="C15" s="53" t="s">
        <v>95</v>
      </c>
    </row>
    <row r="16" spans="1:4" x14ac:dyDescent="0.2">
      <c r="A16" s="59">
        <v>41791</v>
      </c>
      <c r="B16" s="53" t="s">
        <v>103</v>
      </c>
      <c r="C16" s="53" t="s">
        <v>104</v>
      </c>
      <c r="D16" s="53" t="s">
        <v>105</v>
      </c>
    </row>
    <row r="17" spans="1:3" x14ac:dyDescent="0.2">
      <c r="A17" s="59">
        <v>43405</v>
      </c>
      <c r="B17" s="53" t="s">
        <v>106</v>
      </c>
      <c r="C17" s="53" t="s">
        <v>107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X51"/>
  <sheetViews>
    <sheetView zoomScaleNormal="100" workbookViewId="0">
      <pane ySplit="14" topLeftCell="A15" activePane="bottomLeft" state="frozen"/>
      <selection activeCell="A8" sqref="A8"/>
      <selection pane="bottomLeft" activeCell="F24" sqref="F24"/>
    </sheetView>
  </sheetViews>
  <sheetFormatPr defaultColWidth="8.7109375" defaultRowHeight="15" customHeight="1" x14ac:dyDescent="0.2"/>
  <cols>
    <col min="1" max="1" width="1.7109375" style="14" customWidth="1"/>
    <col min="2" max="2" width="15.140625" style="14" customWidth="1"/>
    <col min="3" max="3" width="10" style="14" customWidth="1"/>
    <col min="4" max="4" width="7.140625" style="14" customWidth="1"/>
    <col min="5" max="5" width="18.7109375" style="15" customWidth="1"/>
    <col min="6" max="6" width="1.5703125" style="15" customWidth="1"/>
    <col min="7" max="7" width="22.140625" style="15" customWidth="1"/>
    <col min="8" max="8" width="19" style="15" customWidth="1"/>
    <col min="9" max="9" width="1.5703125" style="15" customWidth="1"/>
    <col min="10" max="10" width="1.5703125" style="14" customWidth="1"/>
    <col min="11" max="11" width="11.85546875" style="18" customWidth="1"/>
    <col min="12" max="12" width="1.5703125" style="14" customWidth="1"/>
    <col min="13" max="13" width="11.5703125" style="18" customWidth="1"/>
    <col min="14" max="14" width="5.7109375" style="14" customWidth="1"/>
    <col min="15" max="17" width="6.7109375" style="18" customWidth="1"/>
    <col min="18" max="18" width="1.5703125" style="14" customWidth="1"/>
    <col min="19" max="19" width="5.42578125" style="19" customWidth="1"/>
    <col min="20" max="20" width="1.5703125" style="14" customWidth="1"/>
    <col min="21" max="21" width="8.7109375" style="15" customWidth="1"/>
    <col min="22" max="22" width="1.5703125" style="14" customWidth="1"/>
    <col min="23" max="16384" width="8.7109375" style="15"/>
  </cols>
  <sheetData>
    <row r="1" spans="1:24" ht="15" hidden="1" customHeight="1" x14ac:dyDescent="0.2">
      <c r="G1" s="16"/>
      <c r="H1" s="17" t="s">
        <v>0</v>
      </c>
      <c r="I1" s="17">
        <f>IF(CountUnit&lt;&gt;"LOC",4,0.1)*0.999</f>
        <v>3.996</v>
      </c>
      <c r="P1" s="18" t="s">
        <v>1</v>
      </c>
      <c r="Q1" s="18" t="s">
        <v>1</v>
      </c>
      <c r="S1" s="19" t="s">
        <v>2</v>
      </c>
      <c r="U1" s="15" t="s">
        <v>3</v>
      </c>
      <c r="X1" s="20"/>
    </row>
    <row r="2" spans="1:24" ht="15" hidden="1" customHeight="1" x14ac:dyDescent="0.2">
      <c r="H2" s="17" t="s">
        <v>4</v>
      </c>
      <c r="I2" s="17">
        <f>IF(CountUnit&lt;&gt;"LOC",2,0.05)*0.999</f>
        <v>1.998</v>
      </c>
      <c r="P2" s="18" t="s">
        <v>5</v>
      </c>
      <c r="Q2" s="18" t="s">
        <v>5</v>
      </c>
      <c r="S2" s="19" t="s">
        <v>6</v>
      </c>
      <c r="U2" s="15" t="s">
        <v>7</v>
      </c>
      <c r="X2" s="20"/>
    </row>
    <row r="3" spans="1:24" ht="15" hidden="1" customHeight="1" x14ac:dyDescent="0.2">
      <c r="H3" s="17" t="s">
        <v>8</v>
      </c>
      <c r="I3" s="17">
        <f>IF(CountUnit&lt;&gt;"LOC",0.2,0.005)*0.999</f>
        <v>0.19980000000000001</v>
      </c>
      <c r="S3" s="19" t="s">
        <v>9</v>
      </c>
      <c r="X3" s="20"/>
    </row>
    <row r="4" spans="1:24" ht="15" hidden="1" customHeight="1" x14ac:dyDescent="0.2">
      <c r="S4" s="19" t="s">
        <v>10</v>
      </c>
      <c r="X4" s="20"/>
    </row>
    <row r="5" spans="1:24" ht="15" hidden="1" customHeight="1" x14ac:dyDescent="0.2">
      <c r="S5" s="19" t="s">
        <v>11</v>
      </c>
    </row>
    <row r="6" spans="1:24" ht="15" hidden="1" customHeight="1" x14ac:dyDescent="0.2">
      <c r="S6" s="19" t="s">
        <v>12</v>
      </c>
      <c r="U6" s="15" t="s">
        <v>13</v>
      </c>
    </row>
    <row r="7" spans="1:24" ht="15" hidden="1" customHeight="1" x14ac:dyDescent="0.2">
      <c r="K7" s="21"/>
      <c r="S7" s="19" t="s">
        <v>14</v>
      </c>
      <c r="U7" s="15" t="s">
        <v>15</v>
      </c>
    </row>
    <row r="8" spans="1:24" ht="15" customHeight="1" x14ac:dyDescent="0.3">
      <c r="A8" s="104" t="s">
        <v>16</v>
      </c>
      <c r="B8" s="105"/>
      <c r="C8" s="105"/>
      <c r="D8" s="105"/>
      <c r="E8" s="105"/>
      <c r="F8" s="105"/>
      <c r="G8" s="105"/>
      <c r="H8" s="105"/>
      <c r="I8" s="105"/>
      <c r="J8" s="105"/>
      <c r="K8" s="105"/>
      <c r="L8" s="105"/>
      <c r="M8" s="105"/>
      <c r="N8" s="105"/>
      <c r="O8" s="105"/>
      <c r="P8" s="105"/>
      <c r="Q8" s="105"/>
      <c r="R8" s="105"/>
      <c r="S8" s="105"/>
      <c r="T8" s="105"/>
      <c r="U8" s="105"/>
      <c r="V8" s="106"/>
    </row>
    <row r="9" spans="1:24" ht="15" customHeight="1" x14ac:dyDescent="0.2">
      <c r="A9" s="85" t="s">
        <v>17</v>
      </c>
      <c r="B9" s="86"/>
      <c r="C9" s="86"/>
      <c r="D9" s="87"/>
      <c r="E9" s="91" t="s">
        <v>115</v>
      </c>
      <c r="F9" s="88"/>
      <c r="G9" s="88"/>
      <c r="H9" s="88"/>
      <c r="I9" s="88"/>
      <c r="J9" s="88"/>
      <c r="K9" s="92"/>
      <c r="L9" s="85" t="s">
        <v>18</v>
      </c>
      <c r="M9" s="86"/>
      <c r="N9" s="87"/>
      <c r="O9" s="91" t="s">
        <v>117</v>
      </c>
      <c r="P9" s="88"/>
      <c r="Q9" s="88"/>
      <c r="R9" s="88"/>
      <c r="S9" s="88"/>
      <c r="T9" s="88"/>
      <c r="U9" s="88"/>
      <c r="V9" s="92"/>
    </row>
    <row r="10" spans="1:24" ht="15" customHeight="1" x14ac:dyDescent="0.2">
      <c r="A10" s="85" t="s">
        <v>65</v>
      </c>
      <c r="B10" s="86"/>
      <c r="C10" s="86"/>
      <c r="D10" s="87"/>
      <c r="E10" s="91" t="s">
        <v>109</v>
      </c>
      <c r="F10" s="88"/>
      <c r="G10" s="88"/>
      <c r="H10" s="88"/>
      <c r="I10" s="88"/>
      <c r="J10" s="88"/>
      <c r="K10" s="92"/>
      <c r="L10" s="85" t="s">
        <v>76</v>
      </c>
      <c r="M10" s="86"/>
      <c r="N10" s="87"/>
      <c r="O10" s="91"/>
      <c r="P10" s="88"/>
      <c r="Q10" s="88"/>
      <c r="R10" s="88"/>
      <c r="S10" s="88"/>
      <c r="T10" s="88"/>
      <c r="U10" s="88"/>
      <c r="V10" s="92"/>
    </row>
    <row r="11" spans="1:24" ht="15" customHeight="1" x14ac:dyDescent="0.2">
      <c r="A11" s="85" t="s">
        <v>73</v>
      </c>
      <c r="B11" s="86"/>
      <c r="C11" s="86"/>
      <c r="D11" s="87"/>
      <c r="E11" s="91" t="s">
        <v>109</v>
      </c>
      <c r="F11" s="88"/>
      <c r="G11" s="88"/>
      <c r="H11" s="88"/>
      <c r="I11" s="88"/>
      <c r="J11" s="88"/>
      <c r="K11" s="92"/>
      <c r="L11" s="85" t="s">
        <v>71</v>
      </c>
      <c r="M11" s="86"/>
      <c r="N11" s="87"/>
      <c r="O11" s="91"/>
      <c r="P11" s="88"/>
      <c r="Q11" s="88"/>
      <c r="R11" s="88"/>
      <c r="S11" s="88"/>
      <c r="T11" s="88"/>
      <c r="U11" s="88"/>
      <c r="V11" s="92"/>
    </row>
    <row r="12" spans="1:24" ht="15" customHeight="1" x14ac:dyDescent="0.2">
      <c r="A12" s="85" t="s">
        <v>69</v>
      </c>
      <c r="B12" s="86"/>
      <c r="C12" s="86"/>
      <c r="D12" s="87"/>
      <c r="E12" s="91" t="s">
        <v>112</v>
      </c>
      <c r="F12" s="88"/>
      <c r="G12" s="88"/>
      <c r="H12" s="88"/>
      <c r="I12" s="88"/>
      <c r="J12" s="88"/>
      <c r="K12" s="92"/>
      <c r="L12" s="85" t="s">
        <v>19</v>
      </c>
      <c r="M12" s="86"/>
      <c r="N12" s="87"/>
      <c r="O12" s="88" t="s">
        <v>114</v>
      </c>
      <c r="P12" s="89"/>
      <c r="Q12" s="89"/>
      <c r="R12" s="89"/>
      <c r="S12" s="89"/>
      <c r="T12" s="89"/>
      <c r="U12" s="89"/>
      <c r="V12" s="90"/>
    </row>
    <row r="13" spans="1:24" ht="15" customHeight="1" x14ac:dyDescent="0.2">
      <c r="A13" s="85" t="s">
        <v>79</v>
      </c>
      <c r="B13" s="86"/>
      <c r="C13" s="86"/>
      <c r="D13" s="87"/>
      <c r="E13" s="91" t="s">
        <v>116</v>
      </c>
      <c r="F13" s="88"/>
      <c r="G13" s="88"/>
      <c r="H13" s="88"/>
      <c r="I13" s="88"/>
      <c r="J13" s="88"/>
      <c r="K13" s="92"/>
      <c r="L13" s="85" t="s">
        <v>78</v>
      </c>
      <c r="M13" s="86"/>
      <c r="N13" s="87"/>
      <c r="O13" s="88"/>
      <c r="P13" s="89"/>
      <c r="Q13" s="89"/>
      <c r="R13" s="89"/>
      <c r="S13" s="89"/>
      <c r="T13" s="89"/>
      <c r="U13" s="89"/>
      <c r="V13" s="90"/>
    </row>
    <row r="14" spans="1:24" ht="15" customHeight="1" x14ac:dyDescent="0.2">
      <c r="A14" s="22"/>
      <c r="B14" s="23" t="s">
        <v>20</v>
      </c>
      <c r="C14" s="23" t="s">
        <v>70</v>
      </c>
      <c r="D14" s="23"/>
      <c r="E14" s="24"/>
      <c r="F14" s="24"/>
      <c r="G14" s="24"/>
      <c r="H14" s="24"/>
      <c r="I14" s="24"/>
      <c r="J14" s="23"/>
      <c r="K14" s="25" t="s">
        <v>21</v>
      </c>
      <c r="L14" s="23"/>
      <c r="M14" s="25" t="s">
        <v>22</v>
      </c>
      <c r="N14" s="23"/>
      <c r="O14" s="25" t="s">
        <v>23</v>
      </c>
      <c r="P14" s="25" t="s">
        <v>24</v>
      </c>
      <c r="Q14" s="25" t="s">
        <v>25</v>
      </c>
      <c r="R14" s="23"/>
      <c r="S14" s="26"/>
      <c r="T14" s="23"/>
      <c r="U14" s="24"/>
      <c r="V14" s="27"/>
    </row>
    <row r="15" spans="1:24" ht="15" customHeight="1" x14ac:dyDescent="0.2">
      <c r="A15" s="28"/>
      <c r="B15" s="29"/>
      <c r="C15" s="29"/>
      <c r="D15" s="29"/>
      <c r="E15" s="30"/>
      <c r="F15" s="30"/>
      <c r="G15" s="30"/>
      <c r="H15" s="30"/>
      <c r="I15" s="30"/>
      <c r="J15" s="29"/>
      <c r="K15" s="31"/>
      <c r="L15" s="29"/>
      <c r="M15" s="31"/>
      <c r="N15" s="29"/>
      <c r="O15" s="31"/>
      <c r="P15" s="31"/>
      <c r="Q15" s="31"/>
      <c r="R15" s="29"/>
      <c r="S15" s="32"/>
      <c r="T15" s="29"/>
      <c r="U15" s="30"/>
      <c r="V15" s="33"/>
    </row>
    <row r="16" spans="1:24" ht="15" customHeight="1" x14ac:dyDescent="0.2">
      <c r="A16" s="34"/>
      <c r="B16" s="35"/>
      <c r="C16" s="35"/>
      <c r="D16" s="35"/>
      <c r="E16" s="36"/>
      <c r="F16" s="36"/>
      <c r="G16" s="36"/>
      <c r="H16" s="36"/>
      <c r="I16" s="36"/>
      <c r="J16" s="35"/>
      <c r="K16" s="37"/>
      <c r="L16" s="35"/>
      <c r="M16" s="37"/>
      <c r="N16" s="35"/>
      <c r="O16" s="37"/>
      <c r="P16" s="37"/>
      <c r="Q16" s="37"/>
      <c r="R16" s="35"/>
      <c r="S16" s="38"/>
      <c r="T16" s="35"/>
      <c r="U16" s="36"/>
      <c r="V16" s="39"/>
    </row>
    <row r="17" spans="1:22" ht="15" customHeight="1" x14ac:dyDescent="0.2">
      <c r="A17" s="34"/>
      <c r="B17" s="40"/>
      <c r="C17" s="40"/>
      <c r="D17" s="36"/>
      <c r="E17" s="36"/>
      <c r="F17" s="36"/>
      <c r="G17" s="36"/>
      <c r="H17" s="36"/>
      <c r="I17" s="36"/>
      <c r="J17" s="35"/>
      <c r="K17" s="36"/>
      <c r="L17" s="35"/>
      <c r="M17" s="37"/>
      <c r="N17" s="35"/>
      <c r="O17" s="37"/>
      <c r="P17" s="37"/>
      <c r="Q17" s="37"/>
      <c r="R17" s="35"/>
      <c r="S17" s="99"/>
      <c r="T17" s="35"/>
      <c r="U17" s="99"/>
      <c r="V17" s="39"/>
    </row>
    <row r="18" spans="1:22" ht="15" customHeight="1" x14ac:dyDescent="0.2">
      <c r="A18" s="34"/>
      <c r="B18" s="35"/>
      <c r="C18" s="35"/>
      <c r="D18" s="35"/>
      <c r="E18" s="36"/>
      <c r="F18" s="36"/>
      <c r="G18" s="36"/>
      <c r="H18" s="36"/>
      <c r="I18" s="36"/>
      <c r="J18" s="35"/>
      <c r="K18" s="37"/>
      <c r="L18" s="35"/>
      <c r="M18" s="37"/>
      <c r="N18" s="35"/>
      <c r="O18" s="37"/>
      <c r="P18" s="37"/>
      <c r="Q18" s="37"/>
      <c r="R18" s="35"/>
      <c r="S18" s="100"/>
      <c r="T18" s="35"/>
      <c r="U18" s="100"/>
      <c r="V18" s="39"/>
    </row>
    <row r="19" spans="1:22" ht="15" customHeight="1" x14ac:dyDescent="0.2">
      <c r="A19" s="34"/>
      <c r="B19" s="40" t="s">
        <v>74</v>
      </c>
      <c r="C19" s="40"/>
      <c r="D19" s="41" t="s">
        <v>82</v>
      </c>
      <c r="E19" s="101" t="s">
        <v>26</v>
      </c>
      <c r="F19" s="103"/>
      <c r="G19" s="42" t="s">
        <v>27</v>
      </c>
      <c r="H19" s="101" t="s">
        <v>28</v>
      </c>
      <c r="I19" s="102"/>
      <c r="J19" s="35"/>
      <c r="K19" s="21" t="s">
        <v>21</v>
      </c>
      <c r="L19" s="35"/>
      <c r="M19" s="18" t="s">
        <v>75</v>
      </c>
      <c r="N19" s="35"/>
      <c r="O19" s="37"/>
      <c r="P19" s="37"/>
      <c r="Q19" s="37"/>
      <c r="R19" s="35"/>
      <c r="S19" s="100"/>
      <c r="T19" s="35"/>
      <c r="U19" s="100"/>
      <c r="V19" s="39"/>
    </row>
    <row r="20" spans="1:22" ht="15" customHeight="1" x14ac:dyDescent="0.2">
      <c r="A20" s="43"/>
      <c r="B20" s="44"/>
      <c r="C20" s="44"/>
      <c r="D20" s="45" t="s">
        <v>110</v>
      </c>
      <c r="E20" s="82" t="s">
        <v>112</v>
      </c>
      <c r="F20" s="47"/>
      <c r="G20" s="45"/>
      <c r="H20" s="46"/>
      <c r="I20" s="47"/>
      <c r="J20" s="44"/>
      <c r="K20" s="21"/>
      <c r="L20" s="44"/>
      <c r="N20" s="44"/>
      <c r="O20" s="48">
        <v>0</v>
      </c>
      <c r="P20" s="48">
        <v>0</v>
      </c>
      <c r="Q20" s="48">
        <v>0</v>
      </c>
      <c r="R20" s="44"/>
      <c r="S20" s="38"/>
      <c r="T20" s="44"/>
      <c r="U20" s="38"/>
      <c r="V20" s="49"/>
    </row>
    <row r="21" spans="1:22" ht="15" customHeight="1" x14ac:dyDescent="0.2">
      <c r="A21" s="43"/>
      <c r="B21" s="44"/>
      <c r="C21" s="44"/>
      <c r="D21" s="45" t="s">
        <v>118</v>
      </c>
      <c r="E21" s="82" t="s">
        <v>119</v>
      </c>
      <c r="F21" s="47"/>
      <c r="G21" s="45"/>
      <c r="H21" s="46"/>
      <c r="I21" s="47"/>
      <c r="J21" s="44"/>
      <c r="K21" s="21"/>
      <c r="L21" s="44"/>
      <c r="N21" s="44"/>
      <c r="O21" s="50">
        <v>0</v>
      </c>
      <c r="P21" s="48">
        <v>0</v>
      </c>
      <c r="Q21" s="48">
        <v>0</v>
      </c>
      <c r="R21" s="44"/>
      <c r="S21" s="38"/>
      <c r="T21" s="44"/>
      <c r="U21" s="38"/>
      <c r="V21" s="49"/>
    </row>
    <row r="22" spans="1:22" ht="15" customHeight="1" x14ac:dyDescent="0.2">
      <c r="A22" s="43"/>
      <c r="B22" s="44"/>
      <c r="C22" s="44"/>
      <c r="D22" s="45" t="s">
        <v>120</v>
      </c>
      <c r="E22" s="82" t="s">
        <v>108</v>
      </c>
      <c r="F22" s="47"/>
      <c r="G22" s="45"/>
      <c r="H22" s="46"/>
      <c r="I22" s="47"/>
      <c r="J22" s="44"/>
      <c r="K22" s="21"/>
      <c r="L22" s="44"/>
      <c r="N22" s="44"/>
      <c r="O22" s="48">
        <v>0</v>
      </c>
      <c r="P22" s="48">
        <v>0</v>
      </c>
      <c r="Q22" s="48">
        <v>0</v>
      </c>
      <c r="R22" s="44"/>
      <c r="S22" s="38"/>
      <c r="T22" s="44"/>
      <c r="U22" s="38"/>
      <c r="V22" s="49"/>
    </row>
    <row r="23" spans="1:22" ht="15" customHeight="1" x14ac:dyDescent="0.2">
      <c r="A23" s="43"/>
      <c r="B23" s="44"/>
      <c r="C23" s="44"/>
      <c r="D23" s="45" t="s">
        <v>111</v>
      </c>
      <c r="E23" s="82" t="s">
        <v>113</v>
      </c>
      <c r="F23" s="47"/>
      <c r="G23" s="45"/>
      <c r="H23" s="46"/>
      <c r="I23" s="47"/>
      <c r="J23" s="44"/>
      <c r="K23" s="21"/>
      <c r="L23" s="44"/>
      <c r="N23" s="44"/>
      <c r="O23" s="48">
        <v>0</v>
      </c>
      <c r="P23" s="48">
        <v>0</v>
      </c>
      <c r="Q23" s="48">
        <v>0</v>
      </c>
      <c r="R23" s="44"/>
      <c r="S23" s="38"/>
      <c r="T23" s="44"/>
      <c r="U23" s="38"/>
      <c r="V23" s="49"/>
    </row>
    <row r="24" spans="1:22" ht="15" customHeight="1" x14ac:dyDescent="0.2">
      <c r="A24" s="43"/>
      <c r="B24" s="44"/>
      <c r="C24" s="44"/>
      <c r="D24" s="45"/>
      <c r="E24" s="82"/>
      <c r="F24" s="47"/>
      <c r="G24" s="45"/>
      <c r="H24" s="46"/>
      <c r="I24" s="47"/>
      <c r="J24" s="44"/>
      <c r="K24" s="21"/>
      <c r="L24" s="44"/>
      <c r="N24" s="44"/>
      <c r="O24" s="48">
        <v>0</v>
      </c>
      <c r="P24" s="48">
        <v>0</v>
      </c>
      <c r="Q24" s="48">
        <v>0</v>
      </c>
      <c r="R24" s="44"/>
      <c r="S24" s="38"/>
      <c r="T24" s="44"/>
      <c r="U24" s="38"/>
      <c r="V24" s="49"/>
    </row>
    <row r="25" spans="1:22" ht="15" customHeight="1" x14ac:dyDescent="0.2">
      <c r="A25" s="43"/>
      <c r="B25" s="44"/>
      <c r="C25" s="44"/>
      <c r="D25" s="45"/>
      <c r="E25" s="82"/>
      <c r="F25" s="47"/>
      <c r="G25" s="45"/>
      <c r="H25" s="46"/>
      <c r="I25" s="47"/>
      <c r="J25" s="44"/>
      <c r="K25" s="21"/>
      <c r="L25" s="44"/>
      <c r="N25" s="44"/>
      <c r="O25" s="48">
        <v>0</v>
      </c>
      <c r="P25" s="48">
        <v>0</v>
      </c>
      <c r="Q25" s="48">
        <v>0</v>
      </c>
      <c r="R25" s="44"/>
      <c r="S25" s="38"/>
      <c r="T25" s="44"/>
      <c r="U25" s="38"/>
      <c r="V25" s="49"/>
    </row>
    <row r="26" spans="1:22" ht="15" customHeight="1" x14ac:dyDescent="0.2">
      <c r="A26" s="43"/>
      <c r="B26" s="44"/>
      <c r="C26" s="44"/>
      <c r="D26" s="45"/>
      <c r="E26" s="82"/>
      <c r="F26" s="47"/>
      <c r="G26" s="45"/>
      <c r="H26" s="46"/>
      <c r="I26" s="47"/>
      <c r="J26" s="44"/>
      <c r="K26" s="21"/>
      <c r="L26" s="44"/>
      <c r="N26" s="44"/>
      <c r="O26" s="48">
        <v>0</v>
      </c>
      <c r="P26" s="48">
        <v>0</v>
      </c>
      <c r="Q26" s="48">
        <v>0</v>
      </c>
      <c r="R26" s="44"/>
      <c r="S26" s="38"/>
      <c r="T26" s="44"/>
      <c r="U26" s="38"/>
      <c r="V26" s="49"/>
    </row>
    <row r="27" spans="1:22" ht="15" customHeight="1" x14ac:dyDescent="0.2">
      <c r="A27" s="43"/>
      <c r="B27" s="44"/>
      <c r="C27" s="44"/>
      <c r="D27" s="45"/>
      <c r="E27" s="46"/>
      <c r="F27" s="47"/>
      <c r="G27" s="45"/>
      <c r="H27" s="46"/>
      <c r="I27" s="47"/>
      <c r="J27" s="44"/>
      <c r="K27" s="21"/>
      <c r="L27" s="44"/>
      <c r="N27" s="44"/>
      <c r="O27" s="48">
        <v>0</v>
      </c>
      <c r="P27" s="48">
        <v>0</v>
      </c>
      <c r="Q27" s="48">
        <v>0</v>
      </c>
      <c r="R27" s="44"/>
      <c r="S27" s="38"/>
      <c r="T27" s="44"/>
      <c r="U27" s="38"/>
      <c r="V27" s="49"/>
    </row>
    <row r="28" spans="1:22" ht="15" customHeight="1" x14ac:dyDescent="0.2">
      <c r="A28" s="43"/>
      <c r="B28" s="44"/>
      <c r="C28" s="44"/>
      <c r="D28" s="45"/>
      <c r="E28" s="46"/>
      <c r="F28" s="47"/>
      <c r="G28" s="45"/>
      <c r="H28" s="46"/>
      <c r="I28" s="47"/>
      <c r="J28" s="44"/>
      <c r="K28" s="21"/>
      <c r="L28" s="44"/>
      <c r="N28" s="44"/>
      <c r="O28" s="48">
        <v>0</v>
      </c>
      <c r="P28" s="48">
        <v>0</v>
      </c>
      <c r="Q28" s="48">
        <v>0</v>
      </c>
      <c r="R28" s="44"/>
      <c r="S28" s="38"/>
      <c r="T28" s="44"/>
      <c r="U28" s="38"/>
      <c r="V28" s="49"/>
    </row>
    <row r="29" spans="1:22" ht="15" customHeight="1" x14ac:dyDescent="0.2">
      <c r="A29" s="43"/>
      <c r="B29" s="44"/>
      <c r="C29" s="44"/>
      <c r="D29" s="45"/>
      <c r="E29" s="46"/>
      <c r="F29" s="47"/>
      <c r="G29" s="45"/>
      <c r="H29" s="46"/>
      <c r="I29" s="47"/>
      <c r="J29" s="44"/>
      <c r="K29" s="21"/>
      <c r="L29" s="44"/>
      <c r="N29" s="44"/>
      <c r="O29" s="48">
        <v>0</v>
      </c>
      <c r="P29" s="48">
        <v>0</v>
      </c>
      <c r="Q29" s="48">
        <v>0</v>
      </c>
      <c r="R29" s="44"/>
      <c r="S29" s="38"/>
      <c r="T29" s="44"/>
      <c r="U29" s="38"/>
      <c r="V29" s="49"/>
    </row>
    <row r="30" spans="1:22" ht="15" customHeight="1" x14ac:dyDescent="0.2">
      <c r="A30" s="43"/>
      <c r="B30" s="44"/>
      <c r="C30" s="44"/>
      <c r="D30" s="45"/>
      <c r="E30" s="46"/>
      <c r="F30" s="47"/>
      <c r="G30" s="45"/>
      <c r="H30" s="46"/>
      <c r="I30" s="47"/>
      <c r="J30" s="44"/>
      <c r="K30" s="21"/>
      <c r="L30" s="44"/>
      <c r="N30" s="44"/>
      <c r="O30" s="48">
        <v>0</v>
      </c>
      <c r="P30" s="48">
        <v>0</v>
      </c>
      <c r="Q30" s="48">
        <v>0</v>
      </c>
      <c r="R30" s="44"/>
      <c r="S30" s="38"/>
      <c r="T30" s="44"/>
      <c r="U30" s="38"/>
      <c r="V30" s="49"/>
    </row>
    <row r="31" spans="1:22" ht="15" customHeight="1" x14ac:dyDescent="0.2">
      <c r="A31" s="43"/>
      <c r="B31" s="44"/>
      <c r="C31" s="44"/>
      <c r="D31" s="45"/>
      <c r="E31" s="46"/>
      <c r="F31" s="47"/>
      <c r="G31" s="45"/>
      <c r="H31" s="46"/>
      <c r="I31" s="47"/>
      <c r="J31" s="44"/>
      <c r="K31" s="21"/>
      <c r="L31" s="44"/>
      <c r="N31" s="44"/>
      <c r="O31" s="48">
        <v>0</v>
      </c>
      <c r="P31" s="48">
        <v>0</v>
      </c>
      <c r="Q31" s="48">
        <v>0</v>
      </c>
      <c r="R31" s="44"/>
      <c r="S31" s="38"/>
      <c r="T31" s="44"/>
      <c r="U31" s="38"/>
      <c r="V31" s="49"/>
    </row>
    <row r="32" spans="1:22" ht="15" customHeight="1" x14ac:dyDescent="0.2">
      <c r="A32" s="43"/>
      <c r="B32" s="44"/>
      <c r="C32" s="44"/>
      <c r="D32" s="45"/>
      <c r="E32" s="46"/>
      <c r="F32" s="47"/>
      <c r="G32" s="45"/>
      <c r="H32" s="46"/>
      <c r="I32" s="47"/>
      <c r="J32" s="44"/>
      <c r="K32" s="21"/>
      <c r="L32" s="44"/>
      <c r="N32" s="44"/>
      <c r="O32" s="48">
        <v>0</v>
      </c>
      <c r="P32" s="48">
        <v>0</v>
      </c>
      <c r="Q32" s="48">
        <v>0</v>
      </c>
      <c r="R32" s="44"/>
      <c r="S32" s="38"/>
      <c r="T32" s="44"/>
      <c r="U32" s="38"/>
      <c r="V32" s="49"/>
    </row>
    <row r="33" spans="1:22" ht="15" customHeight="1" x14ac:dyDescent="0.2">
      <c r="A33" s="43"/>
      <c r="B33" s="44"/>
      <c r="C33" s="44"/>
      <c r="D33" s="45"/>
      <c r="E33" s="46"/>
      <c r="F33" s="47"/>
      <c r="G33" s="45"/>
      <c r="H33" s="46"/>
      <c r="I33" s="47"/>
      <c r="J33" s="44"/>
      <c r="K33" s="21"/>
      <c r="L33" s="44"/>
      <c r="N33" s="44"/>
      <c r="O33" s="48">
        <v>0</v>
      </c>
      <c r="P33" s="48">
        <v>0</v>
      </c>
      <c r="Q33" s="48">
        <v>0</v>
      </c>
      <c r="R33" s="44"/>
      <c r="S33" s="38"/>
      <c r="T33" s="44"/>
      <c r="U33" s="38"/>
      <c r="V33" s="49"/>
    </row>
    <row r="34" spans="1:22" ht="15" customHeight="1" x14ac:dyDescent="0.2">
      <c r="A34" s="43"/>
      <c r="B34" s="44"/>
      <c r="C34" s="44"/>
      <c r="D34" s="45"/>
      <c r="E34" s="46"/>
      <c r="F34" s="47"/>
      <c r="G34" s="45"/>
      <c r="H34" s="46"/>
      <c r="I34" s="47"/>
      <c r="J34" s="44"/>
      <c r="K34" s="21"/>
      <c r="L34" s="44"/>
      <c r="N34" s="44"/>
      <c r="O34" s="48">
        <v>0</v>
      </c>
      <c r="P34" s="48">
        <v>0</v>
      </c>
      <c r="Q34" s="48">
        <v>0</v>
      </c>
      <c r="R34" s="44"/>
      <c r="S34" s="38"/>
      <c r="T34" s="44"/>
      <c r="U34" s="38"/>
      <c r="V34" s="49"/>
    </row>
    <row r="35" spans="1:22" ht="15" customHeight="1" x14ac:dyDescent="0.2">
      <c r="A35" s="43"/>
      <c r="B35" s="44"/>
      <c r="C35" s="44"/>
      <c r="D35" s="45"/>
      <c r="E35" s="46"/>
      <c r="F35" s="47"/>
      <c r="G35" s="45"/>
      <c r="H35" s="46"/>
      <c r="I35" s="47"/>
      <c r="J35" s="44"/>
      <c r="K35" s="21"/>
      <c r="L35" s="44"/>
      <c r="N35" s="44"/>
      <c r="O35" s="48">
        <v>0</v>
      </c>
      <c r="P35" s="48">
        <v>0</v>
      </c>
      <c r="Q35" s="48">
        <v>0</v>
      </c>
      <c r="R35" s="44"/>
      <c r="S35" s="38"/>
      <c r="T35" s="44"/>
      <c r="U35" s="38"/>
      <c r="V35" s="49"/>
    </row>
    <row r="36" spans="1:22" ht="15" customHeight="1" x14ac:dyDescent="0.2">
      <c r="A36" s="43"/>
      <c r="B36" s="44"/>
      <c r="C36" s="44"/>
      <c r="D36" s="45"/>
      <c r="E36" s="46"/>
      <c r="F36" s="47"/>
      <c r="G36" s="45"/>
      <c r="H36" s="46"/>
      <c r="I36" s="47"/>
      <c r="J36" s="44"/>
      <c r="K36" s="21"/>
      <c r="L36" s="44"/>
      <c r="N36" s="44"/>
      <c r="O36" s="48">
        <v>0</v>
      </c>
      <c r="P36" s="48">
        <v>0</v>
      </c>
      <c r="Q36" s="48">
        <v>0</v>
      </c>
      <c r="R36" s="44"/>
      <c r="S36" s="38"/>
      <c r="T36" s="44"/>
      <c r="U36" s="38"/>
      <c r="V36" s="49"/>
    </row>
    <row r="37" spans="1:22" ht="15" customHeight="1" x14ac:dyDescent="0.2">
      <c r="A37" s="43"/>
      <c r="B37" s="44"/>
      <c r="C37" s="44"/>
      <c r="D37" s="45"/>
      <c r="E37" s="46"/>
      <c r="F37" s="47"/>
      <c r="G37" s="45"/>
      <c r="H37" s="46"/>
      <c r="I37" s="47"/>
      <c r="J37" s="44"/>
      <c r="K37" s="21"/>
      <c r="L37" s="44"/>
      <c r="N37" s="44"/>
      <c r="O37" s="48">
        <v>0</v>
      </c>
      <c r="P37" s="48">
        <v>0</v>
      </c>
      <c r="Q37" s="48">
        <v>0</v>
      </c>
      <c r="R37" s="44"/>
      <c r="S37" s="38"/>
      <c r="T37" s="44"/>
      <c r="U37" s="38"/>
      <c r="V37" s="49"/>
    </row>
    <row r="38" spans="1:22" ht="15" customHeight="1" x14ac:dyDescent="0.2">
      <c r="A38" s="43"/>
      <c r="B38" s="44"/>
      <c r="C38" s="44"/>
      <c r="D38" s="45"/>
      <c r="E38" s="46"/>
      <c r="F38" s="47"/>
      <c r="G38" s="45"/>
      <c r="H38" s="46"/>
      <c r="I38" s="47"/>
      <c r="J38" s="44"/>
      <c r="K38" s="21"/>
      <c r="L38" s="44"/>
      <c r="N38" s="44"/>
      <c r="O38" s="48">
        <v>0</v>
      </c>
      <c r="P38" s="48">
        <v>0</v>
      </c>
      <c r="Q38" s="48">
        <v>0</v>
      </c>
      <c r="R38" s="44"/>
      <c r="S38" s="38"/>
      <c r="T38" s="44"/>
      <c r="U38" s="38"/>
      <c r="V38" s="49"/>
    </row>
    <row r="39" spans="1:22" ht="15" customHeight="1" thickBot="1" x14ac:dyDescent="0.25">
      <c r="A39" s="43"/>
      <c r="B39" s="44"/>
      <c r="C39" s="44"/>
      <c r="D39" s="45"/>
      <c r="E39" s="93"/>
      <c r="F39" s="94"/>
      <c r="G39" s="45"/>
      <c r="H39" s="46"/>
      <c r="I39" s="47"/>
      <c r="J39" s="44"/>
      <c r="K39" s="21"/>
      <c r="L39" s="44"/>
      <c r="N39" s="44"/>
      <c r="O39" s="48">
        <v>0</v>
      </c>
      <c r="P39" s="48">
        <v>0</v>
      </c>
      <c r="Q39" s="48">
        <v>0</v>
      </c>
      <c r="R39" s="44"/>
      <c r="S39" s="38"/>
      <c r="T39" s="44"/>
      <c r="U39" s="38"/>
      <c r="V39" s="49"/>
    </row>
    <row r="40" spans="1:22" ht="15" customHeight="1" thickTop="1" x14ac:dyDescent="0.2">
      <c r="A40" s="34"/>
      <c r="B40" s="35"/>
      <c r="C40" s="35"/>
      <c r="D40" s="35"/>
      <c r="E40" s="36"/>
      <c r="F40" s="36"/>
      <c r="G40" s="36"/>
      <c r="H40" s="36"/>
      <c r="I40" s="36"/>
      <c r="J40" s="35"/>
      <c r="K40" s="51">
        <f>SUM(K20:K39)</f>
        <v>0</v>
      </c>
      <c r="L40" s="35"/>
      <c r="M40" s="51">
        <f>SUM(M20:M39)</f>
        <v>0</v>
      </c>
      <c r="N40" s="35"/>
      <c r="O40" s="51">
        <f>SUM(O20:O39)</f>
        <v>0</v>
      </c>
      <c r="P40" s="51">
        <f>SUM(P20:P39)</f>
        <v>0</v>
      </c>
      <c r="Q40" s="51">
        <f>SUM(Q20:Q39)</f>
        <v>0</v>
      </c>
      <c r="R40" s="35"/>
      <c r="S40" s="38"/>
      <c r="T40" s="35"/>
      <c r="U40" s="38"/>
      <c r="V40" s="39"/>
    </row>
    <row r="41" spans="1:22" ht="15" customHeight="1" x14ac:dyDescent="0.2">
      <c r="A41" s="34"/>
      <c r="B41" s="35"/>
      <c r="C41" s="35"/>
      <c r="D41" s="35"/>
      <c r="E41" s="36"/>
      <c r="F41" s="36"/>
      <c r="G41" s="36"/>
      <c r="H41" s="36"/>
      <c r="I41" s="36"/>
      <c r="J41" s="35"/>
      <c r="K41" s="37"/>
      <c r="L41" s="35"/>
      <c r="M41" s="37"/>
      <c r="N41" s="35"/>
      <c r="O41" s="37"/>
      <c r="P41" s="37"/>
      <c r="Q41" s="37"/>
      <c r="R41" s="35"/>
      <c r="S41" s="38"/>
      <c r="T41" s="35"/>
      <c r="U41" s="38"/>
      <c r="V41" s="39"/>
    </row>
    <row r="42" spans="1:22" ht="15" customHeight="1" x14ac:dyDescent="0.2">
      <c r="A42" s="34"/>
      <c r="B42" s="40"/>
      <c r="C42" s="36" t="s">
        <v>70</v>
      </c>
      <c r="D42" s="35" t="s">
        <v>29</v>
      </c>
      <c r="E42" s="36"/>
      <c r="F42" s="36"/>
      <c r="G42" s="36"/>
      <c r="H42" s="36"/>
      <c r="I42" s="36"/>
      <c r="J42" s="35"/>
      <c r="K42" s="37"/>
      <c r="L42" s="35"/>
      <c r="M42" s="37"/>
      <c r="N42" s="35"/>
      <c r="O42" s="37"/>
      <c r="P42" s="37"/>
      <c r="Q42" s="37"/>
      <c r="R42" s="35"/>
      <c r="S42" s="38"/>
      <c r="T42" s="35"/>
      <c r="U42" s="38"/>
      <c r="V42" s="39"/>
    </row>
    <row r="43" spans="1:22" ht="15" customHeight="1" x14ac:dyDescent="0.2">
      <c r="A43" s="34"/>
      <c r="B43" s="40" t="s">
        <v>30</v>
      </c>
      <c r="C43" s="52"/>
      <c r="D43" s="52"/>
      <c r="E43" s="36"/>
      <c r="F43" s="35"/>
      <c r="G43" s="38"/>
      <c r="H43" s="36"/>
      <c r="I43" s="35"/>
      <c r="J43" s="35"/>
      <c r="K43" s="38"/>
      <c r="L43" s="35"/>
      <c r="M43" s="35"/>
      <c r="N43" s="35"/>
      <c r="O43" s="38"/>
      <c r="P43" s="35"/>
      <c r="Q43" s="35"/>
      <c r="R43" s="38"/>
      <c r="S43" s="35"/>
      <c r="T43" s="35"/>
      <c r="U43" s="38"/>
      <c r="V43" s="39"/>
    </row>
    <row r="44" spans="1:22" ht="15" customHeight="1" x14ac:dyDescent="0.2">
      <c r="A44" s="34"/>
      <c r="B44" s="35"/>
      <c r="C44" s="35" t="s">
        <v>70</v>
      </c>
      <c r="D44" s="35"/>
      <c r="E44" s="36"/>
      <c r="F44" s="98"/>
      <c r="G44" s="98"/>
      <c r="H44" s="36"/>
      <c r="I44" s="36"/>
      <c r="J44" s="35"/>
      <c r="K44" s="38"/>
      <c r="L44" s="35"/>
      <c r="M44" s="36"/>
      <c r="N44" s="35"/>
      <c r="O44" s="38"/>
      <c r="P44" s="36"/>
      <c r="Q44" s="35"/>
      <c r="R44" s="38"/>
      <c r="S44" s="36"/>
      <c r="T44" s="35"/>
      <c r="U44" s="38"/>
      <c r="V44" s="39"/>
    </row>
    <row r="45" spans="1:22" ht="15" customHeight="1" x14ac:dyDescent="0.2">
      <c r="A45" s="34"/>
      <c r="B45" s="35"/>
      <c r="C45" s="35"/>
      <c r="D45" s="35"/>
      <c r="E45" s="36"/>
      <c r="F45" s="36"/>
      <c r="G45" s="36"/>
      <c r="H45" s="36"/>
      <c r="I45" s="36"/>
      <c r="J45" s="35"/>
      <c r="K45" s="38"/>
      <c r="L45" s="35"/>
      <c r="M45" s="36"/>
      <c r="N45" s="35"/>
      <c r="O45" s="38"/>
      <c r="P45" s="36"/>
      <c r="Q45" s="35"/>
      <c r="R45" s="38"/>
      <c r="S45" s="36"/>
      <c r="T45" s="35"/>
      <c r="U45" s="38"/>
      <c r="V45" s="39"/>
    </row>
    <row r="46" spans="1:22" ht="15" customHeight="1" x14ac:dyDescent="0.2">
      <c r="A46" s="34"/>
      <c r="B46" s="40" t="s">
        <v>31</v>
      </c>
      <c r="C46" s="52"/>
      <c r="D46" s="35"/>
      <c r="E46" s="36"/>
      <c r="F46" s="36"/>
      <c r="G46" s="36"/>
      <c r="H46" s="36"/>
      <c r="I46" s="36"/>
      <c r="J46" s="35"/>
      <c r="K46" s="38"/>
      <c r="L46" s="35"/>
      <c r="M46" s="35"/>
      <c r="N46" s="35"/>
      <c r="O46" s="38"/>
      <c r="P46" s="35"/>
      <c r="Q46" s="35"/>
      <c r="R46" s="38"/>
      <c r="S46" s="35"/>
      <c r="T46" s="35"/>
      <c r="U46" s="38"/>
      <c r="V46" s="39"/>
    </row>
    <row r="47" spans="1:22" ht="15" customHeight="1" x14ac:dyDescent="0.2">
      <c r="A47" s="34"/>
      <c r="B47" s="35"/>
      <c r="C47" s="35"/>
      <c r="D47" s="35"/>
      <c r="E47" s="36"/>
      <c r="F47" s="36"/>
      <c r="G47" s="36"/>
      <c r="H47" s="36"/>
      <c r="I47" s="36"/>
      <c r="J47" s="35"/>
      <c r="K47" s="38"/>
      <c r="L47" s="35"/>
      <c r="M47" s="36"/>
      <c r="N47" s="35"/>
      <c r="O47" s="38"/>
      <c r="P47" s="36"/>
      <c r="Q47" s="35"/>
      <c r="R47" s="38"/>
      <c r="S47" s="36"/>
      <c r="T47" s="35"/>
      <c r="U47" s="38"/>
      <c r="V47" s="39"/>
    </row>
    <row r="48" spans="1:22" ht="15" customHeight="1" x14ac:dyDescent="0.2">
      <c r="A48" s="34"/>
      <c r="B48" s="40" t="s">
        <v>32</v>
      </c>
      <c r="C48" s="52"/>
      <c r="D48" s="35"/>
      <c r="E48" s="36"/>
      <c r="F48" s="36"/>
      <c r="G48" s="36"/>
      <c r="H48" s="36"/>
      <c r="I48" s="36"/>
      <c r="J48" s="35"/>
      <c r="K48" s="38"/>
      <c r="L48" s="35"/>
      <c r="M48" s="36"/>
      <c r="N48" s="35"/>
      <c r="O48" s="38"/>
      <c r="P48" s="36"/>
      <c r="Q48" s="35"/>
      <c r="R48" s="38"/>
      <c r="S48" s="36"/>
      <c r="T48" s="35"/>
      <c r="U48" s="38"/>
      <c r="V48" s="39"/>
    </row>
    <row r="49" spans="1:22" ht="15" customHeight="1" x14ac:dyDescent="0.2">
      <c r="A49" s="34"/>
      <c r="B49" s="35"/>
      <c r="C49" s="35"/>
      <c r="D49" s="35"/>
      <c r="E49" s="36"/>
      <c r="F49" s="36"/>
      <c r="G49" s="36"/>
      <c r="H49" s="36"/>
      <c r="I49" s="36"/>
      <c r="J49" s="35"/>
      <c r="K49" s="37"/>
      <c r="L49" s="35"/>
      <c r="M49" s="37"/>
      <c r="N49" s="35"/>
      <c r="O49" s="37"/>
      <c r="P49" s="37"/>
      <c r="Q49" s="37"/>
      <c r="R49" s="35"/>
      <c r="S49" s="38"/>
      <c r="T49" s="35"/>
      <c r="U49" s="36"/>
      <c r="V49" s="39"/>
    </row>
    <row r="50" spans="1:22" ht="15" customHeight="1" x14ac:dyDescent="0.2">
      <c r="A50" s="34"/>
      <c r="B50" s="40" t="s">
        <v>33</v>
      </c>
      <c r="C50" s="40"/>
      <c r="D50" s="35"/>
      <c r="E50" s="36"/>
      <c r="F50" s="36"/>
      <c r="G50" s="36"/>
      <c r="H50" s="36"/>
      <c r="I50" s="36"/>
      <c r="J50" s="35"/>
      <c r="K50" s="37"/>
      <c r="L50" s="35"/>
      <c r="M50" s="37"/>
      <c r="N50" s="35"/>
      <c r="O50" s="37"/>
      <c r="P50" s="37"/>
      <c r="Q50" s="37"/>
      <c r="R50" s="35"/>
      <c r="S50" s="38"/>
      <c r="T50" s="35"/>
      <c r="U50" s="36"/>
      <c r="V50" s="39"/>
    </row>
    <row r="51" spans="1:22" ht="99.95" customHeight="1" x14ac:dyDescent="0.2">
      <c r="A51" s="95"/>
      <c r="B51" s="96"/>
      <c r="C51" s="96"/>
      <c r="D51" s="96"/>
      <c r="E51" s="96"/>
      <c r="F51" s="96"/>
      <c r="G51" s="96"/>
      <c r="H51" s="96"/>
      <c r="I51" s="96"/>
      <c r="J51" s="97"/>
      <c r="K51" s="96"/>
      <c r="L51" s="96"/>
      <c r="M51" s="96"/>
      <c r="N51" s="96"/>
      <c r="O51" s="96"/>
      <c r="P51" s="96"/>
      <c r="Q51" s="96"/>
      <c r="R51" s="96"/>
      <c r="S51" s="96"/>
      <c r="T51" s="96"/>
      <c r="U51" s="96"/>
      <c r="V51" s="97"/>
    </row>
  </sheetData>
  <mergeCells count="29">
    <mergeCell ref="A8:V8"/>
    <mergeCell ref="O9:V9"/>
    <mergeCell ref="O10:V10"/>
    <mergeCell ref="O11:V11"/>
    <mergeCell ref="A10:D10"/>
    <mergeCell ref="A11:D11"/>
    <mergeCell ref="A9:D9"/>
    <mergeCell ref="E9:K9"/>
    <mergeCell ref="E10:K10"/>
    <mergeCell ref="E11:K11"/>
    <mergeCell ref="L9:N9"/>
    <mergeCell ref="L10:N10"/>
    <mergeCell ref="L11:N11"/>
    <mergeCell ref="A51:J51"/>
    <mergeCell ref="K51:V51"/>
    <mergeCell ref="F44:G44"/>
    <mergeCell ref="U17:U19"/>
    <mergeCell ref="S17:S19"/>
    <mergeCell ref="H19:I19"/>
    <mergeCell ref="E19:F19"/>
    <mergeCell ref="L12:N12"/>
    <mergeCell ref="O12:V12"/>
    <mergeCell ref="E12:K12"/>
    <mergeCell ref="A12:D12"/>
    <mergeCell ref="E39:F39"/>
    <mergeCell ref="A13:D13"/>
    <mergeCell ref="E13:K13"/>
    <mergeCell ref="L13:N13"/>
    <mergeCell ref="O13:V13"/>
  </mergeCells>
  <phoneticPr fontId="0" type="noConversion"/>
  <conditionalFormatting sqref="C43:D43 C46 C48">
    <cfRule type="cellIs" dxfId="1" priority="11" stopIfTrue="1" operator="greaterThan">
      <formula>0</formula>
    </cfRule>
  </conditionalFormatting>
  <conditionalFormatting sqref="O20:Q39">
    <cfRule type="cellIs" dxfId="0" priority="12" stopIfTrue="1" operator="notEqual">
      <formula>""</formula>
    </cfRule>
  </conditionalFormatting>
  <dataValidations count="1">
    <dataValidation type="list" allowBlank="1" showInputMessage="1" showErrorMessage="1" sqref="A27:A41" xr:uid="{00000000-0002-0000-0100-00000000000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123825</xdr:colOff>
                    <xdr:row>16</xdr:row>
                    <xdr:rowOff>95250</xdr:rowOff>
                  </from>
                  <to>
                    <xdr:col>17</xdr:col>
                    <xdr:colOff>0</xdr:colOff>
                    <xdr:row>18</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574"/>
  <sheetViews>
    <sheetView tabSelected="1" zoomScaleNormal="100" workbookViewId="0">
      <pane ySplit="26" topLeftCell="A27" activePane="bottomLeft" state="frozen"/>
      <selection activeCell="A8" sqref="A8:V8"/>
      <selection pane="bottomLeft" activeCell="A28" sqref="A28"/>
    </sheetView>
  </sheetViews>
  <sheetFormatPr defaultColWidth="6.7109375" defaultRowHeight="15" customHeight="1" x14ac:dyDescent="0.2"/>
  <cols>
    <col min="1" max="1" width="12.7109375" style="7" customWidth="1"/>
    <col min="2" max="3" width="8.7109375" style="11" customWidth="1"/>
    <col min="4" max="4" width="8.7109375" style="7" customWidth="1"/>
    <col min="5" max="5" width="6.7109375" style="7" hidden="1" customWidth="1"/>
    <col min="6" max="6" width="60.7109375" style="5" customWidth="1"/>
    <col min="7" max="7" width="8.7109375" style="7" customWidth="1"/>
    <col min="8" max="8" width="8.7109375" style="12" customWidth="1"/>
    <col min="9" max="9" width="60.7109375" style="13" customWidth="1"/>
    <col min="10" max="10" width="6.7109375" style="12" customWidth="1"/>
    <col min="11" max="11" width="12.7109375" style="12" customWidth="1"/>
    <col min="12" max="12" width="6.7109375" style="12" customWidth="1"/>
    <col min="13" max="13" width="0.140625" style="5" customWidth="1"/>
    <col min="14" max="14" width="25.85546875" style="5" customWidth="1"/>
    <col min="15" max="16384" width="6.7109375" style="5"/>
  </cols>
  <sheetData>
    <row r="1" spans="1:13" ht="15" hidden="1" customHeight="1" x14ac:dyDescent="0.2">
      <c r="A1" s="1" t="str">
        <f>IF(ISBLANK(Metrics!D20),"-----",Metrics!D20)</f>
        <v>RicPet</v>
      </c>
      <c r="B1" s="2"/>
      <c r="C1" s="2"/>
      <c r="D1" s="3" t="s">
        <v>77</v>
      </c>
      <c r="E1" s="3" t="s">
        <v>34</v>
      </c>
      <c r="F1" s="4" t="s">
        <v>35</v>
      </c>
      <c r="G1" s="3" t="s">
        <v>13</v>
      </c>
      <c r="H1" s="3" t="s">
        <v>77</v>
      </c>
      <c r="I1" s="4"/>
      <c r="J1" s="3" t="s">
        <v>3</v>
      </c>
      <c r="K1" s="3"/>
      <c r="L1" s="3" t="s">
        <v>13</v>
      </c>
      <c r="M1" s="5" t="e">
        <f>VLOOKUP(#REF!,NameLookup,2,FALSE)</f>
        <v>#REF!</v>
      </c>
    </row>
    <row r="2" spans="1:13" ht="15" hidden="1" customHeight="1" x14ac:dyDescent="0.2">
      <c r="A2" s="1" t="str">
        <f>IF(ISBLANK(Metrics!D21),"-----",Metrics!D21)</f>
        <v>ShaSon</v>
      </c>
      <c r="B2" s="2"/>
      <c r="C2" s="2"/>
      <c r="D2" s="3" t="s">
        <v>36</v>
      </c>
      <c r="E2" s="3" t="s">
        <v>37</v>
      </c>
      <c r="F2" s="4" t="s">
        <v>37</v>
      </c>
      <c r="G2" s="3" t="s">
        <v>15</v>
      </c>
      <c r="H2" s="3" t="s">
        <v>36</v>
      </c>
      <c r="I2" s="4"/>
      <c r="J2" s="3" t="s">
        <v>38</v>
      </c>
      <c r="K2" s="3"/>
      <c r="L2" s="3" t="s">
        <v>15</v>
      </c>
      <c r="M2" s="5" t="e">
        <f>VLOOKUP(#REF!,NameLookup,2,FALSE)</f>
        <v>#REF!</v>
      </c>
    </row>
    <row r="3" spans="1:13" ht="15" hidden="1" customHeight="1" x14ac:dyDescent="0.2">
      <c r="A3" s="1" t="str">
        <f>IF(ISBLANK(Metrics!D22),"-----",Metrics!D22)</f>
        <v>RonJae</v>
      </c>
      <c r="B3" s="2"/>
      <c r="C3" s="2"/>
      <c r="D3" s="3" t="s">
        <v>39</v>
      </c>
      <c r="E3" s="3" t="s">
        <v>40</v>
      </c>
      <c r="F3" s="4" t="s">
        <v>40</v>
      </c>
      <c r="G3" s="3"/>
      <c r="H3" s="3" t="s">
        <v>39</v>
      </c>
      <c r="I3" s="4"/>
      <c r="J3" s="3"/>
      <c r="K3" s="3"/>
      <c r="L3" s="3"/>
      <c r="M3" s="5" t="e">
        <f>VLOOKUP(#REF!,NameLookup,2,FALSE)</f>
        <v>#REF!</v>
      </c>
    </row>
    <row r="4" spans="1:13" ht="15" hidden="1" customHeight="1" x14ac:dyDescent="0.2">
      <c r="A4" s="1" t="str">
        <f>IF(ISBLANK(Metrics!D23),"-----",Metrics!D23)</f>
        <v>RobEke</v>
      </c>
      <c r="B4" s="2"/>
      <c r="C4" s="2"/>
      <c r="D4" s="3" t="s">
        <v>41</v>
      </c>
      <c r="E4" s="3" t="s">
        <v>42</v>
      </c>
      <c r="F4" s="4" t="s">
        <v>42</v>
      </c>
      <c r="G4" s="3"/>
      <c r="H4" s="3" t="s">
        <v>5</v>
      </c>
      <c r="I4" s="4"/>
      <c r="J4" s="3"/>
      <c r="K4" s="3"/>
      <c r="L4" s="3"/>
      <c r="M4" s="5" t="e">
        <f>VLOOKUP(#REF!,NameLookup,2,FALSE)</f>
        <v>#REF!</v>
      </c>
    </row>
    <row r="5" spans="1:13" ht="15" hidden="1" customHeight="1" x14ac:dyDescent="0.2">
      <c r="A5" s="1" t="str">
        <f>IF(ISBLANK(Metrics!D24),"-----",Metrics!D24)</f>
        <v>-----</v>
      </c>
      <c r="B5" s="2"/>
      <c r="C5" s="2"/>
      <c r="D5" s="3"/>
      <c r="E5" s="3" t="s">
        <v>43</v>
      </c>
      <c r="F5" s="4" t="s">
        <v>43</v>
      </c>
      <c r="G5" s="3"/>
      <c r="H5" s="3" t="s">
        <v>44</v>
      </c>
      <c r="I5" s="4"/>
      <c r="J5" s="3"/>
      <c r="K5" s="3"/>
      <c r="L5" s="3"/>
      <c r="M5" s="5" t="e">
        <f>VLOOKUP(#REF!,NameLookup,2,FALSE)</f>
        <v>#REF!</v>
      </c>
    </row>
    <row r="6" spans="1:13" ht="15" hidden="1" customHeight="1" x14ac:dyDescent="0.2">
      <c r="A6" s="1" t="str">
        <f>IF(ISBLANK(Metrics!D25),"-----",Metrics!D25)</f>
        <v>-----</v>
      </c>
      <c r="B6" s="2"/>
      <c r="C6" s="2"/>
      <c r="D6" s="3"/>
      <c r="E6" s="3" t="s">
        <v>45</v>
      </c>
      <c r="F6" s="4" t="s">
        <v>45</v>
      </c>
      <c r="G6" s="3"/>
      <c r="H6" s="3" t="s">
        <v>46</v>
      </c>
      <c r="I6" s="4"/>
      <c r="J6" s="3"/>
      <c r="K6" s="3"/>
      <c r="L6" s="3"/>
      <c r="M6" s="5" t="e">
        <f>VLOOKUP(#REF!,NameLookup,2,FALSE)</f>
        <v>#REF!</v>
      </c>
    </row>
    <row r="7" spans="1:13" ht="15" hidden="1" customHeight="1" x14ac:dyDescent="0.2">
      <c r="A7" s="1" t="str">
        <f>IF(ISBLANK(Metrics!D26),"-----",Metrics!D26)</f>
        <v>-----</v>
      </c>
      <c r="B7" s="2"/>
      <c r="C7" s="2"/>
      <c r="D7" s="3"/>
      <c r="E7" s="3" t="s">
        <v>47</v>
      </c>
      <c r="F7" s="4" t="s">
        <v>47</v>
      </c>
      <c r="G7" s="3"/>
      <c r="H7" s="3"/>
      <c r="I7" s="4"/>
      <c r="J7" s="3"/>
      <c r="K7" s="3"/>
      <c r="L7" s="3"/>
      <c r="M7" s="5" t="e">
        <f>VLOOKUP(#REF!,NameLookup,2,FALSE)</f>
        <v>#REF!</v>
      </c>
    </row>
    <row r="8" spans="1:13" ht="15" hidden="1" customHeight="1" x14ac:dyDescent="0.2">
      <c r="A8" s="1" t="str">
        <f>IF(ISBLANK(Metrics!D27),"-----",Metrics!D27)</f>
        <v>-----</v>
      </c>
      <c r="B8" s="2"/>
      <c r="C8" s="2"/>
      <c r="D8" s="3"/>
      <c r="E8" s="3" t="s">
        <v>48</v>
      </c>
      <c r="F8" s="4" t="s">
        <v>49</v>
      </c>
      <c r="G8" s="3"/>
      <c r="H8" s="3"/>
      <c r="I8" s="4"/>
      <c r="J8" s="3"/>
      <c r="K8" s="3"/>
      <c r="L8" s="3"/>
      <c r="M8" s="5" t="e">
        <f>VLOOKUP(#REF!,NameLookup,2,FALSE)</f>
        <v>#REF!</v>
      </c>
    </row>
    <row r="9" spans="1:13" ht="15" hidden="1" customHeight="1" x14ac:dyDescent="0.2">
      <c r="A9" s="1" t="str">
        <f>IF(ISBLANK(Metrics!D28),"-----",Metrics!D28)</f>
        <v>-----</v>
      </c>
      <c r="B9" s="2"/>
      <c r="C9" s="2"/>
      <c r="D9" s="3"/>
      <c r="E9" s="3" t="s">
        <v>50</v>
      </c>
      <c r="F9" s="4" t="s">
        <v>51</v>
      </c>
      <c r="G9" s="3"/>
      <c r="H9" s="3"/>
      <c r="I9" s="4"/>
      <c r="J9" s="3"/>
      <c r="K9" s="3"/>
      <c r="L9" s="3"/>
      <c r="M9" s="5" t="str">
        <f t="shared" ref="M9:M19" si="0">VLOOKUP(A1,NameLookup,2,FALSE)</f>
        <v>Richard Peters</v>
      </c>
    </row>
    <row r="10" spans="1:13" ht="15" hidden="1" customHeight="1" x14ac:dyDescent="0.2">
      <c r="A10" s="1" t="str">
        <f>IF(ISBLANK(Metrics!D29),"-----",Metrics!D29)</f>
        <v>-----</v>
      </c>
      <c r="B10" s="2"/>
      <c r="C10" s="2"/>
      <c r="D10" s="3"/>
      <c r="E10" s="3" t="s">
        <v>52</v>
      </c>
      <c r="F10" s="4" t="s">
        <v>52</v>
      </c>
      <c r="G10" s="3"/>
      <c r="H10" s="3"/>
      <c r="I10" s="4"/>
      <c r="J10" s="3"/>
      <c r="K10" s="3"/>
      <c r="L10" s="3"/>
      <c r="M10" s="5" t="str">
        <f t="shared" si="0"/>
        <v>Shan Song</v>
      </c>
    </row>
    <row r="11" spans="1:13" ht="15" hidden="1" customHeight="1" x14ac:dyDescent="0.2">
      <c r="A11" s="1" t="str">
        <f>IF(ISBLANK(Metrics!D30),"-----",Metrics!D30)</f>
        <v>-----</v>
      </c>
      <c r="B11" s="2"/>
      <c r="C11" s="2"/>
      <c r="D11" s="3"/>
      <c r="E11" s="3" t="s">
        <v>53</v>
      </c>
      <c r="F11" s="4" t="s">
        <v>53</v>
      </c>
      <c r="G11" s="3"/>
      <c r="H11" s="3"/>
      <c r="I11" s="4"/>
      <c r="J11" s="3"/>
      <c r="K11" s="3"/>
      <c r="L11" s="3"/>
      <c r="M11" s="5" t="str">
        <f t="shared" si="0"/>
        <v>Ron Jaegers</v>
      </c>
    </row>
    <row r="12" spans="1:13" ht="15" hidden="1" customHeight="1" x14ac:dyDescent="0.2">
      <c r="A12" s="1" t="str">
        <f>IF(ISBLANK(Metrics!D31),"-----",Metrics!D31)</f>
        <v>-----</v>
      </c>
      <c r="B12" s="2"/>
      <c r="C12" s="2"/>
      <c r="D12" s="3"/>
      <c r="E12" s="3" t="s">
        <v>54</v>
      </c>
      <c r="F12" s="4" t="s">
        <v>55</v>
      </c>
      <c r="G12" s="3"/>
      <c r="H12" s="3"/>
      <c r="I12" s="4"/>
      <c r="J12" s="3"/>
      <c r="K12" s="3"/>
      <c r="L12" s="3"/>
      <c r="M12" s="5" t="str">
        <f t="shared" si="0"/>
        <v>Rob Ekelmans</v>
      </c>
    </row>
    <row r="13" spans="1:13" ht="15" hidden="1" customHeight="1" x14ac:dyDescent="0.2">
      <c r="A13" s="1" t="str">
        <f>IF(ISBLANK(Metrics!D32),"-----",Metrics!D32)</f>
        <v>-----</v>
      </c>
      <c r="B13" s="2"/>
      <c r="C13" s="2"/>
      <c r="D13" s="3"/>
      <c r="E13" s="3" t="s">
        <v>56</v>
      </c>
      <c r="F13" s="4" t="s">
        <v>56</v>
      </c>
      <c r="G13" s="3"/>
      <c r="H13" s="3"/>
      <c r="I13" s="4"/>
      <c r="J13" s="3"/>
      <c r="K13" s="3"/>
      <c r="L13" s="3"/>
      <c r="M13" s="5" t="e">
        <f t="shared" si="0"/>
        <v>#N/A</v>
      </c>
    </row>
    <row r="14" spans="1:13" ht="15" hidden="1" customHeight="1" x14ac:dyDescent="0.2">
      <c r="A14" s="1" t="str">
        <f>IF(ISBLANK(Metrics!D33),"-----",Metrics!D33)</f>
        <v>-----</v>
      </c>
      <c r="B14" s="2"/>
      <c r="C14" s="2"/>
      <c r="D14" s="3"/>
      <c r="E14" s="3" t="s">
        <v>57</v>
      </c>
      <c r="F14" s="4" t="s">
        <v>57</v>
      </c>
      <c r="G14" s="3"/>
      <c r="H14" s="3"/>
      <c r="I14" s="4"/>
      <c r="J14" s="3"/>
      <c r="K14" s="3"/>
      <c r="L14" s="3"/>
      <c r="M14" s="5" t="e">
        <f t="shared" si="0"/>
        <v>#N/A</v>
      </c>
    </row>
    <row r="15" spans="1:13" ht="15" hidden="1" customHeight="1" x14ac:dyDescent="0.2">
      <c r="A15" s="1" t="str">
        <f>IF(ISBLANK(Metrics!D34),"-----",Metrics!D34)</f>
        <v>-----</v>
      </c>
      <c r="B15" s="2"/>
      <c r="C15" s="2"/>
      <c r="D15" s="3"/>
      <c r="E15" s="3"/>
      <c r="F15" s="4"/>
      <c r="G15" s="3"/>
      <c r="H15" s="3"/>
      <c r="I15" s="4"/>
      <c r="J15" s="3"/>
      <c r="K15" s="3"/>
      <c r="L15" s="3"/>
      <c r="M15" s="5" t="e">
        <f t="shared" si="0"/>
        <v>#N/A</v>
      </c>
    </row>
    <row r="16" spans="1:13" ht="15" hidden="1" customHeight="1" x14ac:dyDescent="0.2">
      <c r="A16" s="1" t="str">
        <f>IF(ISBLANK(Metrics!D35),"-----",Metrics!D35)</f>
        <v>-----</v>
      </c>
      <c r="B16" s="2"/>
      <c r="C16" s="2"/>
      <c r="D16" s="3"/>
      <c r="E16" s="3"/>
      <c r="F16" s="4"/>
      <c r="G16" s="3"/>
      <c r="H16" s="3"/>
      <c r="I16" s="4"/>
      <c r="J16" s="3"/>
      <c r="K16" s="3"/>
      <c r="L16" s="3"/>
      <c r="M16" s="5" t="e">
        <f t="shared" si="0"/>
        <v>#N/A</v>
      </c>
    </row>
    <row r="17" spans="1:14" ht="15" hidden="1" customHeight="1" x14ac:dyDescent="0.2">
      <c r="A17" s="1" t="str">
        <f>IF(ISBLANK(Metrics!D36),"-----",Metrics!D36)</f>
        <v>-----</v>
      </c>
      <c r="B17" s="2"/>
      <c r="C17" s="2"/>
      <c r="D17" s="3"/>
      <c r="E17" s="3"/>
      <c r="F17" s="4"/>
      <c r="G17" s="3"/>
      <c r="H17" s="3"/>
      <c r="I17" s="4"/>
      <c r="J17" s="3"/>
      <c r="K17" s="3"/>
      <c r="L17" s="3"/>
      <c r="M17" s="5" t="e">
        <f t="shared" si="0"/>
        <v>#N/A</v>
      </c>
    </row>
    <row r="18" spans="1:14" ht="15" hidden="1" customHeight="1" x14ac:dyDescent="0.2">
      <c r="A18" s="1" t="str">
        <f>IF(ISBLANK(Metrics!D37),"-----",Metrics!D37)</f>
        <v>-----</v>
      </c>
      <c r="B18" s="2"/>
      <c r="C18" s="2"/>
      <c r="D18" s="3"/>
      <c r="E18" s="3"/>
      <c r="F18" s="4"/>
      <c r="G18" s="3"/>
      <c r="H18" s="3"/>
      <c r="I18" s="4"/>
      <c r="J18" s="3"/>
      <c r="K18" s="3"/>
      <c r="L18" s="3"/>
      <c r="M18" s="5" t="e">
        <f t="shared" si="0"/>
        <v>#N/A</v>
      </c>
    </row>
    <row r="19" spans="1:14" ht="15" hidden="1" customHeight="1" x14ac:dyDescent="0.2">
      <c r="A19" s="1" t="str">
        <f>IF(ISBLANK(Metrics!D38),"-----",Metrics!D38)</f>
        <v>-----</v>
      </c>
      <c r="B19" s="2"/>
      <c r="C19" s="2"/>
      <c r="D19" s="3"/>
      <c r="E19" s="3"/>
      <c r="F19" s="4"/>
      <c r="G19" s="3"/>
      <c r="H19" s="3"/>
      <c r="I19" s="4"/>
      <c r="J19" s="3"/>
      <c r="K19" s="3"/>
      <c r="L19" s="3"/>
      <c r="M19" s="5" t="e">
        <f t="shared" si="0"/>
        <v>#N/A</v>
      </c>
    </row>
    <row r="20" spans="1:14" ht="15" hidden="1" customHeight="1" x14ac:dyDescent="0.2">
      <c r="A20" s="1" t="str">
        <f>IF(ISBLANK(Metrics!D39),"-----",Metrics!D39)</f>
        <v>-----</v>
      </c>
      <c r="B20" s="2"/>
      <c r="C20" s="2"/>
      <c r="D20" s="3"/>
      <c r="E20" s="3"/>
      <c r="F20" s="4"/>
      <c r="G20" s="3"/>
      <c r="H20" s="3"/>
      <c r="I20" s="4"/>
      <c r="J20" s="3"/>
      <c r="K20" s="3"/>
      <c r="L20" s="3"/>
      <c r="M20" s="5" t="e">
        <f>VLOOKUP(A20,NameLookup,2,FALSE)</f>
        <v>#N/A</v>
      </c>
    </row>
    <row r="21" spans="1:14" s="7" customFormat="1" ht="20.100000000000001" customHeight="1" x14ac:dyDescent="0.2">
      <c r="A21" s="6"/>
      <c r="B21" s="6"/>
      <c r="C21" s="6"/>
      <c r="D21" s="6"/>
      <c r="E21" s="6"/>
      <c r="F21" s="6"/>
      <c r="G21" s="107" t="s">
        <v>72</v>
      </c>
      <c r="H21" s="108"/>
      <c r="I21" s="108"/>
      <c r="J21" s="108"/>
      <c r="K21" s="108"/>
      <c r="L21" s="109"/>
      <c r="M21" s="5" t="e">
        <f>VLOOKUP(G21,NameLookup,2,FALSE)</f>
        <v>#N/A</v>
      </c>
    </row>
    <row r="22" spans="1:14" ht="15" customHeight="1" x14ac:dyDescent="0.2">
      <c r="A22" s="114" t="str">
        <f>(Metrics!A9)</f>
        <v>Project Name</v>
      </c>
      <c r="B22" s="112"/>
      <c r="C22" s="110" t="str">
        <f>(IF(ISBLANK(Project),"",Project))</f>
        <v>Postmaster</v>
      </c>
      <c r="D22" s="115"/>
      <c r="E22" s="115"/>
      <c r="F22" s="116"/>
      <c r="G22" s="85" t="str">
        <f>(Metrics!L9)</f>
        <v>Document Title</v>
      </c>
      <c r="H22" s="113"/>
      <c r="I22" s="110" t="str">
        <f>(IF(ISBLANK(Title),"",Title))</f>
        <v>Postmaster PCB</v>
      </c>
      <c r="J22" s="111"/>
      <c r="K22" s="111"/>
      <c r="L22" s="112"/>
      <c r="M22" s="5" t="e">
        <f>VLOOKUP(A22,NameLookup,2,FALSE)</f>
        <v>#N/A</v>
      </c>
    </row>
    <row r="23" spans="1:14" ht="15" customHeight="1" x14ac:dyDescent="0.2">
      <c r="A23" s="114" t="str">
        <f>(Metrics!A10)</f>
        <v>Project Nr</v>
      </c>
      <c r="B23" s="112"/>
      <c r="C23" s="110" t="str">
        <f>(IF(ISBLANK(BudgetNr),"",BudgetNr))</f>
        <v>NA</v>
      </c>
      <c r="D23" s="115"/>
      <c r="E23" s="115"/>
      <c r="F23" s="116"/>
      <c r="G23" s="85" t="str">
        <f>(Metrics!L10)</f>
        <v xml:space="preserve">Document ID </v>
      </c>
      <c r="H23" s="113"/>
      <c r="I23" s="110" t="str">
        <f>(IF(ISBLANK(DocId),"",DocId))</f>
        <v/>
      </c>
      <c r="J23" s="111"/>
      <c r="K23" s="111"/>
      <c r="L23" s="112"/>
      <c r="M23" s="5" t="e">
        <f>VLOOKUP(A23,NameLookup,2,FALSE)</f>
        <v>#N/A</v>
      </c>
    </row>
    <row r="24" spans="1:14" ht="15" customHeight="1" x14ac:dyDescent="0.2">
      <c r="A24" s="114" t="str">
        <f>(Metrics!A11)</f>
        <v>Review ID / Quick Release ID</v>
      </c>
      <c r="B24" s="112"/>
      <c r="C24" s="110" t="str">
        <f>(IF(ISBLANK(ReviewId),"",ReviewId))</f>
        <v>NA</v>
      </c>
      <c r="D24" s="115"/>
      <c r="E24" s="115"/>
      <c r="F24" s="116"/>
      <c r="G24" s="85" t="str">
        <f>(Metrics!L11)</f>
        <v>Document Version</v>
      </c>
      <c r="H24" s="113"/>
      <c r="I24" s="110" t="str">
        <f>(IF(ISBLANK(DocVersion),"",DocVersion))</f>
        <v/>
      </c>
      <c r="J24" s="111"/>
      <c r="K24" s="111"/>
      <c r="L24" s="112"/>
      <c r="M24" s="5" t="e">
        <f>VLOOKUP(A24,NameLookup,2,FALSE)</f>
        <v>#N/A</v>
      </c>
    </row>
    <row r="25" spans="1:14" ht="15" customHeight="1" x14ac:dyDescent="0.2">
      <c r="A25" s="114" t="str">
        <f>(Metrics!A12)</f>
        <v>Assignee / Author</v>
      </c>
      <c r="B25" s="112"/>
      <c r="C25" s="110" t="str">
        <f>(IF(ISBLANK(Moderator),"",Moderator))</f>
        <v>Richard Peters</v>
      </c>
      <c r="D25" s="115"/>
      <c r="E25" s="115"/>
      <c r="F25" s="116"/>
      <c r="G25" s="85" t="str">
        <f>(Metrics!L12)</f>
        <v>Document Type</v>
      </c>
      <c r="H25" s="113"/>
      <c r="I25" s="110" t="str">
        <f>(IF(ISBLANK(DocType),"",DocType))</f>
        <v>MS-Word</v>
      </c>
      <c r="J25" s="111"/>
      <c r="K25" s="111"/>
      <c r="L25" s="112"/>
      <c r="M25" s="5" t="e">
        <f>VLOOKUP(A25,NameLookup,2,FALSE)</f>
        <v>#N/A</v>
      </c>
    </row>
    <row r="26" spans="1:14" s="10" customFormat="1" ht="30" customHeight="1" x14ac:dyDescent="0.2">
      <c r="A26" s="8" t="s">
        <v>68</v>
      </c>
      <c r="B26" s="8" t="s">
        <v>67</v>
      </c>
      <c r="C26" s="8" t="s">
        <v>66</v>
      </c>
      <c r="D26" s="8" t="s">
        <v>58</v>
      </c>
      <c r="E26" s="8" t="s">
        <v>59</v>
      </c>
      <c r="F26" s="8" t="s">
        <v>64</v>
      </c>
      <c r="G26" s="8" t="s">
        <v>60</v>
      </c>
      <c r="H26" s="8" t="s">
        <v>61</v>
      </c>
      <c r="I26" s="8" t="s">
        <v>80</v>
      </c>
      <c r="J26" s="8" t="s">
        <v>63</v>
      </c>
      <c r="K26" s="8" t="s">
        <v>62</v>
      </c>
      <c r="L26" s="8" t="s">
        <v>81</v>
      </c>
      <c r="M26" s="9" t="e">
        <f>VLOOKUP(A26,NameLookup,2,FALSE)</f>
        <v>#N/A</v>
      </c>
      <c r="N26" s="5"/>
    </row>
    <row r="27" spans="1:14" ht="12.75" x14ac:dyDescent="0.2">
      <c r="B27" s="69"/>
      <c r="C27" s="69"/>
      <c r="F27" s="77"/>
    </row>
    <row r="28" spans="1:14" ht="12.75" x14ac:dyDescent="0.2">
      <c r="B28" s="69"/>
      <c r="C28" s="69"/>
      <c r="F28" s="71"/>
    </row>
    <row r="29" spans="1:14" ht="12.75" x14ac:dyDescent="0.2">
      <c r="B29" s="69"/>
      <c r="C29" s="69"/>
      <c r="F29" s="71"/>
    </row>
    <row r="30" spans="1:14" ht="12.75" x14ac:dyDescent="0.2">
      <c r="B30" s="69"/>
      <c r="C30" s="69"/>
      <c r="F30" s="71"/>
    </row>
    <row r="31" spans="1:14" ht="12.75" x14ac:dyDescent="0.2">
      <c r="B31" s="69"/>
      <c r="C31" s="69"/>
      <c r="F31" s="71"/>
    </row>
    <row r="32" spans="1:14" x14ac:dyDescent="0.2">
      <c r="A32" s="84"/>
      <c r="B32" s="69"/>
      <c r="C32" s="70"/>
      <c r="F32" s="63"/>
    </row>
    <row r="33" spans="2:6" ht="12.75" x14ac:dyDescent="0.2">
      <c r="B33" s="69"/>
      <c r="C33" s="69"/>
      <c r="F33" s="71"/>
    </row>
    <row r="34" spans="2:6" ht="12.75" x14ac:dyDescent="0.2">
      <c r="B34" s="69"/>
      <c r="C34" s="69"/>
      <c r="F34" s="71"/>
    </row>
    <row r="35" spans="2:6" ht="12.75" x14ac:dyDescent="0.2">
      <c r="F35" s="76"/>
    </row>
    <row r="36" spans="2:6" ht="12.75" x14ac:dyDescent="0.2">
      <c r="B36" s="69"/>
      <c r="C36" s="69"/>
      <c r="F36" s="71"/>
    </row>
    <row r="37" spans="2:6" ht="12.75" x14ac:dyDescent="0.2">
      <c r="B37" s="69"/>
      <c r="C37" s="69"/>
      <c r="F37" s="71"/>
    </row>
    <row r="38" spans="2:6" ht="12.75" x14ac:dyDescent="0.2">
      <c r="B38" s="69"/>
      <c r="C38" s="69"/>
      <c r="F38" s="71"/>
    </row>
    <row r="39" spans="2:6" ht="12.75" x14ac:dyDescent="0.2">
      <c r="B39" s="69"/>
      <c r="C39" s="69"/>
      <c r="F39" s="71"/>
    </row>
    <row r="40" spans="2:6" ht="12.75" x14ac:dyDescent="0.2">
      <c r="B40" s="69"/>
      <c r="C40" s="69"/>
      <c r="F40" s="71"/>
    </row>
    <row r="41" spans="2:6" ht="12.75" x14ac:dyDescent="0.2">
      <c r="F41" s="76"/>
    </row>
    <row r="42" spans="2:6" ht="12.75" x14ac:dyDescent="0.2">
      <c r="B42" s="69"/>
      <c r="C42" s="69"/>
      <c r="F42" s="71"/>
    </row>
    <row r="43" spans="2:6" ht="12.75" x14ac:dyDescent="0.2">
      <c r="B43" s="69"/>
      <c r="C43" s="69"/>
      <c r="F43" s="71"/>
    </row>
    <row r="44" spans="2:6" x14ac:dyDescent="0.2">
      <c r="B44" s="69"/>
      <c r="C44" s="69"/>
      <c r="F44" s="63"/>
    </row>
    <row r="45" spans="2:6" x14ac:dyDescent="0.2">
      <c r="B45" s="69"/>
      <c r="C45" s="69"/>
      <c r="F45" s="63"/>
    </row>
    <row r="46" spans="2:6" x14ac:dyDescent="0.2">
      <c r="B46" s="69"/>
      <c r="C46" s="69"/>
      <c r="F46" s="63"/>
    </row>
    <row r="47" spans="2:6" x14ac:dyDescent="0.2">
      <c r="B47" s="69"/>
      <c r="C47" s="69"/>
      <c r="F47" s="63"/>
    </row>
    <row r="48" spans="2:6" x14ac:dyDescent="0.2">
      <c r="B48" s="69"/>
      <c r="C48" s="69"/>
      <c r="F48" s="63"/>
    </row>
    <row r="49" spans="1:6" ht="12.75" x14ac:dyDescent="0.2">
      <c r="B49" s="69"/>
      <c r="C49" s="69"/>
      <c r="F49" s="71"/>
    </row>
    <row r="50" spans="1:6" ht="12.75" x14ac:dyDescent="0.2">
      <c r="B50" s="69"/>
      <c r="C50" s="69"/>
      <c r="F50" s="71"/>
    </row>
    <row r="51" spans="1:6" ht="12.75" x14ac:dyDescent="0.2">
      <c r="F51" s="76"/>
    </row>
    <row r="52" spans="1:6" ht="12.75" x14ac:dyDescent="0.2">
      <c r="F52" s="71"/>
    </row>
    <row r="53" spans="1:6" ht="12.75" x14ac:dyDescent="0.2">
      <c r="F53" s="71"/>
    </row>
    <row r="54" spans="1:6" ht="12.75" x14ac:dyDescent="0.2">
      <c r="B54" s="69"/>
      <c r="C54" s="69"/>
      <c r="F54" s="71"/>
    </row>
    <row r="55" spans="1:6" ht="12.75" x14ac:dyDescent="0.2">
      <c r="B55" s="69"/>
      <c r="C55" s="69"/>
      <c r="F55" s="71"/>
    </row>
    <row r="56" spans="1:6" ht="12.75" x14ac:dyDescent="0.2">
      <c r="B56" s="69"/>
      <c r="C56" s="69"/>
      <c r="F56" s="71"/>
    </row>
    <row r="57" spans="1:6" ht="12.75" x14ac:dyDescent="0.2">
      <c r="F57" s="76"/>
    </row>
    <row r="58" spans="1:6" ht="12.75" x14ac:dyDescent="0.2">
      <c r="B58" s="69"/>
      <c r="C58" s="69"/>
      <c r="F58" s="71"/>
    </row>
    <row r="59" spans="1:6" ht="12.75" x14ac:dyDescent="0.2">
      <c r="B59" s="69"/>
      <c r="C59" s="69"/>
      <c r="F59" s="71"/>
    </row>
    <row r="60" spans="1:6" x14ac:dyDescent="0.2">
      <c r="A60" s="84"/>
      <c r="B60" s="69"/>
      <c r="C60" s="70"/>
      <c r="F60" s="63"/>
    </row>
    <row r="61" spans="1:6" ht="12.75" x14ac:dyDescent="0.2">
      <c r="B61" s="69"/>
      <c r="C61" s="69"/>
      <c r="F61" s="71"/>
    </row>
    <row r="62" spans="1:6" ht="12.75" x14ac:dyDescent="0.2">
      <c r="B62" s="69"/>
      <c r="C62" s="69"/>
      <c r="F62" s="71"/>
    </row>
    <row r="63" spans="1:6" ht="12.75" x14ac:dyDescent="0.2">
      <c r="F63" s="76"/>
    </row>
    <row r="64" spans="1:6" ht="12.75" x14ac:dyDescent="0.2">
      <c r="B64" s="69"/>
      <c r="C64" s="69"/>
      <c r="F64" s="71"/>
    </row>
    <row r="65" spans="1:6" ht="12.75" x14ac:dyDescent="0.2">
      <c r="B65" s="69"/>
      <c r="C65" s="69"/>
      <c r="F65" s="71"/>
    </row>
    <row r="66" spans="1:6" ht="12.75" x14ac:dyDescent="0.2">
      <c r="B66" s="69"/>
      <c r="C66" s="69"/>
      <c r="F66" s="71"/>
    </row>
    <row r="67" spans="1:6" ht="12.75" x14ac:dyDescent="0.2">
      <c r="F67" s="76"/>
    </row>
    <row r="68" spans="1:6" ht="12.75" x14ac:dyDescent="0.2">
      <c r="B68" s="69"/>
      <c r="C68" s="69"/>
      <c r="F68" s="71"/>
    </row>
    <row r="69" spans="1:6" ht="12.75" x14ac:dyDescent="0.2">
      <c r="B69" s="69"/>
      <c r="C69" s="69"/>
      <c r="F69" s="71"/>
    </row>
    <row r="70" spans="1:6" ht="12.75" x14ac:dyDescent="0.2">
      <c r="B70" s="69"/>
      <c r="C70" s="69"/>
      <c r="F70" s="71"/>
    </row>
    <row r="71" spans="1:6" ht="12.75" x14ac:dyDescent="0.2">
      <c r="B71" s="69"/>
      <c r="C71" s="69"/>
      <c r="F71" s="71"/>
    </row>
    <row r="72" spans="1:6" ht="12.75" x14ac:dyDescent="0.2">
      <c r="B72" s="69"/>
      <c r="C72" s="69"/>
      <c r="F72" s="71"/>
    </row>
    <row r="73" spans="1:6" ht="12.75" x14ac:dyDescent="0.2">
      <c r="B73" s="69"/>
      <c r="C73" s="69"/>
      <c r="F73" s="71"/>
    </row>
    <row r="74" spans="1:6" ht="12.75" x14ac:dyDescent="0.2">
      <c r="F74" s="76"/>
    </row>
    <row r="75" spans="1:6" ht="12.75" x14ac:dyDescent="0.2">
      <c r="B75" s="69"/>
      <c r="C75" s="69"/>
      <c r="F75" s="71"/>
    </row>
    <row r="76" spans="1:6" ht="12.75" x14ac:dyDescent="0.2">
      <c r="B76" s="69"/>
      <c r="C76" s="69"/>
      <c r="F76" s="71"/>
    </row>
    <row r="77" spans="1:6" x14ac:dyDescent="0.2">
      <c r="A77" s="79"/>
      <c r="B77" s="69"/>
      <c r="C77" s="70"/>
      <c r="F77" s="63"/>
    </row>
    <row r="78" spans="1:6" ht="12.75" x14ac:dyDescent="0.2">
      <c r="A78" s="79"/>
      <c r="B78" s="69"/>
      <c r="C78" s="70"/>
      <c r="F78" s="71"/>
    </row>
    <row r="79" spans="1:6" ht="12.75" x14ac:dyDescent="0.2">
      <c r="A79" s="79"/>
      <c r="B79" s="69"/>
      <c r="C79" s="70"/>
      <c r="F79" s="65"/>
    </row>
    <row r="80" spans="1:6" ht="12.75" x14ac:dyDescent="0.2">
      <c r="B80" s="69"/>
      <c r="C80" s="69"/>
      <c r="F80" s="77"/>
    </row>
    <row r="81" spans="1:6" ht="12.75" x14ac:dyDescent="0.2">
      <c r="A81" s="79"/>
      <c r="B81" s="69"/>
      <c r="C81" s="70"/>
      <c r="F81" s="71"/>
    </row>
    <row r="82" spans="1:6" ht="12.75" x14ac:dyDescent="0.2">
      <c r="A82" s="68"/>
      <c r="B82" s="72"/>
      <c r="C82" s="69"/>
      <c r="F82" s="71"/>
    </row>
    <row r="83" spans="1:6" ht="12.75" x14ac:dyDescent="0.2">
      <c r="A83" s="80"/>
      <c r="B83" s="69"/>
      <c r="C83" s="78"/>
      <c r="F83" s="77"/>
    </row>
    <row r="84" spans="1:6" x14ac:dyDescent="0.2">
      <c r="A84" s="68"/>
      <c r="B84" s="69"/>
      <c r="C84" s="69"/>
      <c r="F84" s="73"/>
    </row>
    <row r="85" spans="1:6" x14ac:dyDescent="0.2">
      <c r="A85" s="74"/>
      <c r="B85" s="69"/>
      <c r="C85" s="69"/>
      <c r="F85" s="63"/>
    </row>
    <row r="86" spans="1:6" ht="12.75" x14ac:dyDescent="0.2">
      <c r="A86" s="68"/>
      <c r="B86" s="69"/>
      <c r="C86" s="69"/>
      <c r="F86" s="71"/>
    </row>
    <row r="87" spans="1:6" ht="12.75" x14ac:dyDescent="0.2">
      <c r="A87" s="74"/>
      <c r="B87" s="69"/>
      <c r="C87" s="69"/>
      <c r="F87" s="65"/>
    </row>
    <row r="88" spans="1:6" ht="12.75" x14ac:dyDescent="0.2">
      <c r="A88" s="81"/>
      <c r="B88" s="69"/>
      <c r="C88" s="69"/>
      <c r="F88" s="71"/>
    </row>
    <row r="89" spans="1:6" ht="15.75" customHeight="1" x14ac:dyDescent="0.2">
      <c r="A89" s="74"/>
      <c r="B89" s="69"/>
      <c r="C89" s="69"/>
      <c r="F89" s="63"/>
    </row>
    <row r="90" spans="1:6" ht="12.75" x14ac:dyDescent="0.2">
      <c r="A90" s="68"/>
      <c r="B90" s="69"/>
      <c r="C90" s="69"/>
      <c r="F90" s="71"/>
    </row>
    <row r="91" spans="1:6" ht="15" customHeight="1" x14ac:dyDescent="0.2">
      <c r="A91" s="74"/>
      <c r="B91" s="69"/>
      <c r="C91" s="69"/>
      <c r="F91" s="63"/>
    </row>
    <row r="92" spans="1:6" ht="15.75" customHeight="1" x14ac:dyDescent="0.2">
      <c r="A92" s="81"/>
      <c r="B92" s="69"/>
      <c r="C92" s="69"/>
      <c r="F92" s="71"/>
    </row>
    <row r="93" spans="1:6" ht="12.75" x14ac:dyDescent="0.2">
      <c r="A93" s="80"/>
      <c r="F93" s="75"/>
    </row>
    <row r="94" spans="1:6" x14ac:dyDescent="0.2">
      <c r="A94" s="68"/>
      <c r="B94" s="69"/>
      <c r="C94" s="70"/>
      <c r="F94" s="73"/>
    </row>
    <row r="95" spans="1:6" ht="12.75" x14ac:dyDescent="0.2">
      <c r="A95" s="68"/>
      <c r="B95" s="69"/>
      <c r="C95" s="70"/>
      <c r="F95" s="71"/>
    </row>
    <row r="96" spans="1:6" x14ac:dyDescent="0.2">
      <c r="A96" s="68"/>
      <c r="B96" s="60"/>
      <c r="C96" s="66"/>
      <c r="F96" s="63"/>
    </row>
    <row r="97" spans="1:6" ht="12.75" x14ac:dyDescent="0.2">
      <c r="A97" s="68"/>
      <c r="B97" s="60"/>
      <c r="C97" s="67"/>
      <c r="F97" s="62"/>
    </row>
    <row r="98" spans="1:6" ht="12.75" x14ac:dyDescent="0.2">
      <c r="A98" s="68"/>
      <c r="B98" s="60"/>
      <c r="C98" s="67"/>
      <c r="F98" s="65"/>
    </row>
    <row r="99" spans="1:6" ht="12.75" x14ac:dyDescent="0.2">
      <c r="A99" s="68"/>
      <c r="B99" s="60"/>
      <c r="C99" s="67"/>
      <c r="F99" s="62"/>
    </row>
    <row r="100" spans="1:6" ht="12.75" x14ac:dyDescent="0.2">
      <c r="A100" s="68"/>
      <c r="B100" s="61"/>
      <c r="C100" s="60"/>
      <c r="F100" s="62"/>
    </row>
    <row r="101" spans="1:6" x14ac:dyDescent="0.2">
      <c r="A101" s="68"/>
      <c r="B101" s="60"/>
      <c r="C101" s="64"/>
      <c r="F101" s="63"/>
    </row>
    <row r="102" spans="1:6" x14ac:dyDescent="0.2">
      <c r="A102" s="74"/>
      <c r="B102" s="60"/>
      <c r="C102" s="64"/>
      <c r="F102" s="63"/>
    </row>
    <row r="103" spans="1:6" ht="12.75" x14ac:dyDescent="0.2">
      <c r="A103" s="74"/>
      <c r="B103" s="60"/>
      <c r="C103" s="60"/>
      <c r="F103" s="62"/>
    </row>
    <row r="104" spans="1:6" ht="12.75" x14ac:dyDescent="0.2">
      <c r="A104" s="74"/>
      <c r="B104" s="60"/>
      <c r="C104" s="60"/>
      <c r="F104" s="65"/>
    </row>
    <row r="105" spans="1:6" ht="15.75" customHeight="1" x14ac:dyDescent="0.2">
      <c r="A105" s="74"/>
      <c r="B105" s="60"/>
      <c r="C105" s="60"/>
      <c r="F105" s="63"/>
    </row>
    <row r="106" spans="1:6" ht="12.75" x14ac:dyDescent="0.2">
      <c r="A106" s="74"/>
      <c r="B106" s="60"/>
      <c r="C106" s="60"/>
      <c r="F106" s="62"/>
    </row>
    <row r="107" spans="1:6" ht="15" customHeight="1" x14ac:dyDescent="0.2">
      <c r="A107" s="74"/>
      <c r="B107" s="60"/>
      <c r="C107" s="60"/>
      <c r="F107" s="63"/>
    </row>
    <row r="108" spans="1:6" ht="12.75" customHeight="1" x14ac:dyDescent="0.2">
      <c r="A108" s="74"/>
      <c r="B108" s="60"/>
      <c r="C108" s="64"/>
      <c r="F108" s="53"/>
    </row>
    <row r="109" spans="1:6" ht="12.75" x14ac:dyDescent="0.2">
      <c r="A109" s="83"/>
      <c r="B109" s="61"/>
      <c r="C109" s="60"/>
      <c r="F109" s="62"/>
    </row>
    <row r="110" spans="1:6" ht="12.75" x14ac:dyDescent="0.2"/>
    <row r="111" spans="1:6" ht="12.75" x14ac:dyDescent="0.2"/>
    <row r="112" spans="1:6"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sheetData>
  <sortState xmlns:xlrd2="http://schemas.microsoft.com/office/spreadsheetml/2017/richdata2" ref="A27:XFD55">
    <sortCondition descending="1" ref="G27"/>
    <sortCondition ref="B27"/>
    <sortCondition ref="C27"/>
  </sortState>
  <mergeCells count="17">
    <mergeCell ref="A22:B22"/>
    <mergeCell ref="A23:B23"/>
    <mergeCell ref="A24:B24"/>
    <mergeCell ref="A25:B25"/>
    <mergeCell ref="C22:F22"/>
    <mergeCell ref="C23:F23"/>
    <mergeCell ref="C24:F24"/>
    <mergeCell ref="C25:F25"/>
    <mergeCell ref="G21:L21"/>
    <mergeCell ref="I22:L22"/>
    <mergeCell ref="I23:L23"/>
    <mergeCell ref="I24:L24"/>
    <mergeCell ref="I25:L25"/>
    <mergeCell ref="G22:H22"/>
    <mergeCell ref="G23:H23"/>
    <mergeCell ref="G24:H24"/>
    <mergeCell ref="G25:H25"/>
  </mergeCells>
  <phoneticPr fontId="0" type="noConversion"/>
  <dataValidations count="6">
    <dataValidation type="list" allowBlank="1" showInputMessage="1" showErrorMessage="1" sqref="A597:A1089 A76:A389 A73:A74 A66:A70 A62:A63 A59:A60 A56:A57 A40:A54 A36:A37 A31:A34 A28:A29" xr:uid="{00000000-0002-0000-0200-000000000000}">
      <formula1>$A$1:$A$20</formula1>
    </dataValidation>
    <dataValidation type="list" allowBlank="1" showInputMessage="1" showErrorMessage="1" sqref="E76:E128 E73:E74 E66:E70 E62:E63 E59:E60 E56:E57 E40:E41 E46:E47 E43:E44 E51:E54 E36:E37 E31:E34 E28:E29" xr:uid="{00000000-0002-0000-0200-000001000000}">
      <formula1>$E$1:$E$14</formula1>
    </dataValidation>
    <dataValidation type="list" allowBlank="1" showInputMessage="1" showErrorMessage="1" sqref="G73:G74 G76:G389 G66:G70 G62:G63 G56:G57 G59:G60 G50:G54 G46:G47 G40:G41 G43:G44 G36:G37 G31:G34 G28:G29" xr:uid="{00000000-0002-0000-0200-000002000000}">
      <formula1>$G$1:$G$2</formula1>
    </dataValidation>
    <dataValidation type="list" allowBlank="1" showInputMessage="1" showErrorMessage="1" sqref="J27:J389 L27:L389" xr:uid="{00000000-0002-0000-0200-000003000000}">
      <formula1>$L$1:$L$2</formula1>
    </dataValidation>
    <dataValidation type="list" allowBlank="1" showInputMessage="1" showErrorMessage="1" sqref="D76:D65611 D73:D74 D66:D70 D62:D63 D59:D60 D56:D57 D41:D54 D36:D37 D31:D34 D27:D29" xr:uid="{00000000-0002-0000-0200-000004000000}">
      <formula1>$D$1:$D$4</formula1>
    </dataValidation>
    <dataValidation type="list" allowBlank="1" showInputMessage="1" showErrorMessage="1" sqref="H27:H389" xr:uid="{00000000-0002-0000-0200-000005000000}">
      <formula1>$H$1:$H$6</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428625</xdr:colOff>
                    <xdr:row>20</xdr:row>
                    <xdr:rowOff>19050</xdr:rowOff>
                  </from>
                  <to>
                    <xdr:col>5</xdr:col>
                    <xdr:colOff>714375</xdr:colOff>
                    <xdr:row>21</xdr:row>
                    <xdr:rowOff>0</xdr:rowOff>
                  </to>
                </anchor>
              </controlPr>
            </control>
          </mc:Choice>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723900</xdr:colOff>
                    <xdr:row>20</xdr:row>
                    <xdr:rowOff>19050</xdr:rowOff>
                  </from>
                  <to>
                    <xdr:col>5</xdr:col>
                    <xdr:colOff>2009775</xdr:colOff>
                    <xdr:row>21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p:Policy xmlns:p="office.server.policy" id="" local="true">
  <p:Name>00 QMS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3.xml><?xml version="1.0" encoding="utf-8"?>
<?mso-contentType ?>
<SharedContentType xmlns="Microsoft.SharePoint.Taxonomy.ContentTypeSync" SourceId="e40374fb-a6cc-4854-989f-c1d94a7967ee" ContentTypeId="0x01" PreviousValue="false"/>
</file>

<file path=customXml/item4.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ate xmlns="ce34623b-5c11-4b5b-b0d3-7d70f0a3097a" xsi:nil="true"/>
    <Document_x0020_author xmlns="5db227b6-3c56-4158-ad71-bd648583e357">
      <UserInfo>
        <DisplayName>Oorschot, Koos van</DisplayName>
        <AccountId>543</AccountId>
        <AccountType/>
      </UserInfo>
    </Document_x0020_author>
    <Document_x0020_type xmlns="5db227b6-3c56-4158-ad71-bd648583e357">Template</Document_x0020_type>
    <View_x0020_Eng xmlns="5db227b6-3c56-4158-ad71-bd648583e357">true</View_x0020_Eng>
    <View_x0020_Production xmlns="ce34623b-5c11-4b5b-b0d3-7d70f0a3097a">false</View_x0020_Production>
    <Relevant_x0020_to_x0020_ISO_x0020_13485 xmlns="5db227b6-3c56-4158-ad71-bd648583e357">false</Relevant_x0020_to_x0020_ISO_x0020_13485>
    <PInS_x0020_department xmlns="5db227b6-3c56-4158-ad71-bd648583e357">000 PInS</PInS_x0020_department>
    <Doc_x0020_nr. xmlns="5db227b6-3c56-4158-ad71-bd648583e357">BMS-REA-202</Doc_x0020_nr.>
    <DLCPolicyLabelLock xmlns="ce34623b-5c11-4b5b-b0d3-7d70f0a3097a" xsi:nil="true"/>
    <Safety_x0020_relevant xmlns="5db227b6-3c56-4158-ad71-bd648583e357">false</Safety_x0020_relevant>
    <PQMS_x0020_number xmlns="5db227b6-3c56-4158-ad71-bd648583e357" xsi:nil="true"/>
    <Approver xmlns="5db227b6-3c56-4158-ad71-bd648583e357">
      <UserInfo>
        <DisplayName>Borg, Frank van der</DisplayName>
        <AccountId>114</AccountId>
        <AccountType/>
      </UserInfo>
    </Approver>
    <Reviewers xmlns="5db227b6-3c56-4158-ad71-bd648583e357">
      <UserInfo>
        <DisplayName>i:0#.f|membership|w.bor@philips.com,#i:0#.f|membership|w.bor@philips.com,#w.bor@philips.com,#w.bor@philips.com,#Bor, Wim,#,#,#</DisplayName>
        <AccountId>286</AccountId>
        <AccountType/>
      </UserInfo>
      <UserInfo>
        <DisplayName>i:0#.f|membership|koos.van.oorschot@philips.com,#i:0#.f|membership|koos.van.oorschot@philips.com,#koos.van.oorschot@philips.com,#koos.van.oorschot@philips.com,#Oorschot, Koos van,#,#,#</DisplayName>
        <AccountId>543</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_dlc_Exempt xmlns="ce34623b-5c11-4b5b-b0d3-7d70f0a3097a">false</_dlc_Exempt>
    <DLCPolicyLabelValue xmlns="ce34623b-5c11-4b5b-b0d3-7d70f0a3097a">5.0
Approved</DLCPolicyLabelValue>
  </documentManagement>
</p:properties>
</file>

<file path=customXml/item5.xml><?xml version="1.0" encoding="utf-8"?>
<LongProperties xmlns="http://schemas.microsoft.com/office/2006/metadata/longProperties"/>
</file>

<file path=customXml/item6.xml><?xml version="1.0" encoding="utf-8"?>
<ct:contentTypeSchema xmlns:ct="http://schemas.microsoft.com/office/2006/metadata/contentType" xmlns:ma="http://schemas.microsoft.com/office/2006/metadata/properties/metaAttributes" ct:_="" ma:_="" ma:contentTypeName="00 QMS document" ma:contentTypeID="0x0101001E9AF57F6A6FB1498E6BAB1704371DB9010015F5EAEEBFC26D419AC26DD0C3AD2666" ma:contentTypeVersion="48" ma:contentTypeDescription="A core QMS document under stringent version and approval control" ma:contentTypeScope="" ma:versionID="d2a9e40e574663dd8691048d21690734">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0ef77a912313cbd2c1072c504d39e355"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2:PQMS_x0020_number" minOccurs="0"/>
                <xsd:element ref="ns3:MediaServiceMetadata" minOccurs="0"/>
                <xsd:element ref="ns3:MediaServiceFastMetadata" minOccurs="0"/>
                <xsd:element ref="ns2:SharedWithUsers" minOccurs="0"/>
                <xsd:element ref="ns2:SharedWithDetails" minOccurs="0"/>
                <xsd:element ref="ns3: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Product Creation Process (PDLM)"/>
          <xsd:enumeration value="01 Leadership &amp; Governance"/>
          <xsd:enumeration value="02 Policy &amp; Strategy"/>
          <xsd:enumeration value="03 Sales &amp; Marketing"/>
          <xsd:enumeration value="04 Realisation"/>
          <xsd:enumeration value="04a Services"/>
          <xsd:enumeration value="04b Secondment"/>
          <xsd:enumeration value="04c Consulting"/>
          <xsd:enumeration value="04d Projects"/>
          <xsd:enumeration value="04e Manufacturing"/>
          <xsd:enumeration value="05 Competence Manageme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RES - Electronic Design Services" ma:description="The department for which the document is valid." ma:format="Dropdown" ma:internalName="PInS_x0020_department">
      <xsd:simpleType>
        <xsd:restriction base="dms:Choice">
          <xsd:enumeration value="RES - Electronic Design Services"/>
          <xsd:enumeration value="RES - Test &amp; Measurement Automation"/>
          <xsd:enumeration value="RES - Product Quality &amp; Reliability Services"/>
          <xsd:enumeration value="RES - Reliability Solutions - US"/>
          <xsd:enumeration value="MECH - Mechatronics Prototyping"/>
          <xsd:enumeration value="MECH - Mechatronics Technology"/>
          <xsd:enumeration value="MECH - Mechatronics EHW &amp; Motion Software"/>
          <xsd:enumeration value="MECH - Mechatronics Equipment"/>
          <xsd:enumeration value="MECH - Mechatronics Products"/>
          <xsd:enumeration value="MST - Equipment Realization &amp; Service"/>
          <xsd:enumeration value="MST - Manufacturing Processes &amp; Quality"/>
          <xsd:enumeration value="MST - Manufacturing Automation &amp; Robotics"/>
          <xsd:enumeration value="ELEC - Connectivity"/>
          <xsd:enumeration value="ELEC - Digital Processing"/>
          <xsd:enumeration value="ELEC - Sensors &amp; RF"/>
          <xsd:enumeration value="ELEC - Mixed Signal"/>
          <xsd:enumeration value="ELEC - Application Software"/>
          <xsd:enumeration value="ELEC - Embedded Software"/>
          <xsd:enumeration value="ESH - Philips Environment &amp; Safety (PES)"/>
          <xsd:enumeration value="ESH - General Services &amp; Support (GS&amp;S), Etc"/>
          <xsd:enumeration value="MMD - Process Development &amp; Integration"/>
          <xsd:enumeration value="MMD - Operations MEMS"/>
          <xsd:enumeration value="MMD - Process Development Micro Devices"/>
          <xsd:enumeration value="MMD - Operations Greenhouse"/>
          <xsd:enumeration value="IC - Supply Chain Management"/>
          <xsd:enumeration value="IC - Operations Management"/>
          <xsd:enumeration value="IC - Innovation Management"/>
          <xsd:enumeration value="IC - Development Management"/>
          <xsd:enumeration value="PM - Business Excellence &amp; Quality"/>
          <xsd:enumeration value="PM - Sales &amp; Marketing"/>
          <xsd:enumeration value="PM - Competency Management"/>
          <xsd:enumeration value="PM - Senior Project Management"/>
          <xsd:enumeration value="PM - Business Support Office"/>
          <xsd:enumeration value="000 PInS"/>
          <xsd:enumeration value="100 Division 1"/>
          <xsd:enumeration value="101 Senior Project Managers"/>
          <xsd:enumeration value="110 Mechatronic Equipment"/>
          <xsd:enumeration value="111 Mechatronic Equipment"/>
          <xsd:enumeration value="112 Dynamics, Thermal &amp; Control"/>
          <xsd:enumeration value="113 Mechatronic Equipment EHW &amp; SW"/>
          <xsd:enumeration value="120 Mechatronic Products"/>
          <xsd:enumeration value="121 Mechatronic Product Development"/>
          <xsd:enumeration value="123 Mechatronic Product Technologies"/>
          <xsd:enumeration value="124 Product Prototyping"/>
          <xsd:enumeration value="140 MST"/>
          <xsd:enumeration value="141 Manufacturing Processes &amp; Quality"/>
          <xsd:enumeration value="142 Manufacturing Automation &amp; Robotics"/>
          <xsd:enumeration value="143 Equipment Realization &amp; Service"/>
          <xsd:enumeration value="200 MEMS &amp; Micro Devices"/>
          <xsd:enumeration value="231 Process Development &amp; Integration"/>
          <xsd:enumeration value="232 Micro Assembly Development"/>
          <xsd:enumeration value="233 Process Engineering"/>
          <xsd:enumeration value="234 Operations"/>
          <xsd:enumeration value="235 Device Assembly &amp; Prototyping"/>
          <xsd:enumeration value="236 Greenhouse"/>
          <xsd:enumeration value="300 Division 3"/>
          <xsd:enumeration value="310 Electronics"/>
          <xsd:enumeration value="311 Connectivity"/>
          <xsd:enumeration value="312 Digital processing"/>
          <xsd:enumeration value="313 Sensors &amp; RF"/>
          <xsd:enumeration value="314 Mixed Signal"/>
          <xsd:enumeration value="315 Embedded Software"/>
          <xsd:enumeration value="320 Reliability Solutions"/>
          <xsd:enumeration value="321 Electronic Design Services"/>
          <xsd:enumeration value="322 Product Quality &amp; Reliability Services"/>
          <xsd:enumeration value="323 Test &amp; measurement Automation"/>
          <xsd:enumeration value="400 Consulting &amp; Business Excellence"/>
          <xsd:enumeration value="410 Industry consulting"/>
          <xsd:enumeration value="411 Supply Change Management"/>
          <xsd:enumeration value="412 Operations Management"/>
          <xsd:enumeration value="413 Innovation Management"/>
          <xsd:enumeration value="414 Development management"/>
          <xsd:enumeration value="415 Change Management"/>
          <xsd:enumeration value="416 Care Management"/>
          <xsd:enumeration value="420 Environment &amp; Safety"/>
          <xsd:enumeration value="421 Sustainability"/>
          <xsd:enumeration value="422 Environmental Safety &amp; Health"/>
          <xsd:enumeration value="423 Dosimetry"/>
          <xsd:enumeration value="424 Radiation protection"/>
          <xsd:enumeration value="425 Dangerous goods"/>
          <xsd:enumeration value="430 Electronic &amp; Photonic Instrumentation and GS&amp;S"/>
          <xsd:enumeration value="431 Instrumentation Services"/>
          <xsd:enumeration value="432 GS&amp;S Tech infra, facilities"/>
          <xsd:enumeration value="433 GS&amp;S Fixed assets/sales"/>
          <xsd:enumeration value="434 GS&amp;S Chemical Supplies"/>
          <xsd:enumeration value="435 GS&amp;S Industrial Supplies"/>
          <xsd:enumeration value="440 Radiation Protection"/>
          <xsd:enumeration value="500 Sales &amp; marketing"/>
          <xsd:enumeration value="510 Connected Care &amp; Health Informatics/Personal Health"/>
          <xsd:enumeration value="530 Diagnostics &amp; treatment"/>
          <xsd:enumeration value="540 External"/>
          <xsd:enumeration value="560 Marketing"/>
          <xsd:enumeration value="570 Business support Office"/>
          <xsd:enumeration value="600  Innovation sourcing Eindhoven"/>
          <xsd:enumeration value="999 Former organisation"/>
          <xsd:enumeration value="hier komen de nieuwen"/>
          <xsd:enumeration value="010 Business Excellence, Quality &amp; Regulatory"/>
          <xsd:enumeration value="100 Mechatronics"/>
          <xsd:enumeration value="110 Mechatronic Equipment"/>
          <xsd:enumeration value="130 Mechatronics EHW &amp; Motion Software"/>
          <xsd:enumeration value="140 Mechatronics Prototyping"/>
          <xsd:enumeration value="200 MEMS &amp; Micro Devices"/>
          <xsd:enumeration value="210 Process Development &amp; Integration"/>
          <xsd:enumeration value="220 Process Engineering and Maintenance"/>
          <xsd:enumeration value="230 Process Development Micro Devices"/>
          <xsd:enumeration value="240 Operations"/>
          <xsd:enumeration value="250 Greenhouse"/>
          <xsd:enumeration value="300 MST"/>
          <xsd:enumeration value="310 Equipment Realization &amp; Service"/>
          <xsd:enumeration value="320 Manufacturing Processes &amp; Quality"/>
          <xsd:enumeration value="330 Manufacturing Automation &amp; Robotics"/>
          <xsd:enumeration value="400 Electronics"/>
          <xsd:enumeration value="410 Connectivity"/>
          <xsd:enumeration value="420 Digital processing"/>
          <xsd:enumeration value="430 Sensors &amp; RF"/>
          <xsd:enumeration value="440 Mixed Signal"/>
          <xsd:enumeration value="460 Embedded Software"/>
          <xsd:enumeration value="470 Application Software"/>
          <xsd:enumeration value="500 Reliability Solutions"/>
          <xsd:enumeration value="510 Electronic Design Services"/>
          <xsd:enumeration value="520 Prototyping Electronics"/>
          <xsd:enumeration value="530 Test &amp; measurement Automation"/>
          <xsd:enumeration value="540 Product Quality &amp; Reliability Services"/>
          <xsd:enumeration value="550 Reliability Solutions - US"/>
          <xsd:enumeration value="600 Industry consulting"/>
          <xsd:enumeration value="610 Supply Change Management"/>
          <xsd:enumeration value="620 Operations Management"/>
          <xsd:enumeration value="630 Innovation Management"/>
          <xsd:enumeration value="640 Development management"/>
          <xsd:enumeration value="650 Change Management"/>
          <xsd:enumeration value="700 Environment &amp; Safety"/>
          <xsd:enumeration value="710 Philips Environment &amp; Safety (PES)"/>
          <xsd:enumeration value="713 Dosimetry"/>
          <xsd:enumeration value="714 Radiation protection"/>
          <xsd:enumeration value="715 Dangerous goods"/>
          <xsd:enumeration value="720 General Services &amp; Support (GS&amp;S), Etc."/>
          <xsd:enumeration value="800 Program management"/>
          <xsd:enumeration value="810 Sales"/>
          <xsd:enumeration value="811 Connected Care &amp; Health Informatics/Personal Health"/>
          <xsd:enumeration value="812 Diagnostics &amp; treatment"/>
          <xsd:enumeration value="813 External"/>
          <xsd:enumeration value="814 External MEMS &amp; Micro Devices"/>
          <xsd:enumeration value="815 Personal Health"/>
          <xsd:enumeration value="816 Group and I&amp;S"/>
          <xsd:enumeration value="817 Key Account Management"/>
          <xsd:enumeration value="820 Senior Project Managers"/>
          <xsd:enumeration value="830 Marketing"/>
          <xsd:enumeration value="840 Business support Office"/>
          <xsd:enumeration value="900  Innovation sourcing Eindhoven"/>
        </xsd:restriction>
      </xsd:simpleType>
    </xsd:element>
    <xsd:element name="PQMS_x0020_number" ma:index="31" nillable="true" ma:displayName="PQMS number" ma:description="The number of the &quot;mother document&quot;in the Philips Quality Management System" ma:indexed="true" ma:internalName="PQMS_x0020_number">
      <xsd:simpleType>
        <xsd:restriction base="dms:Text">
          <xsd:maxLength value="255"/>
        </xsd:restriction>
      </xsd:simpleType>
    </xsd:element>
    <xsd:element name="SharedWithUsers" ma:index="35"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6"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2" nillable="true" ma:displayName="Exempt from Policy" ma:description="" ma:hidden="true" ma:internalName="_dlc_Exempt" ma:readOnly="true">
      <xsd:simpleType>
        <xsd:restriction base="dms:Unknown"/>
      </xsd:simpleType>
    </xsd:element>
    <xsd:element name="DLCPolicyLabelValue" ma:index="23"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4"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5" nillable="true" ma:displayName="Label Locked" ma:description="Indicates whether the label should be updated when item properties are modified." ma:internalName="DLCPolicyLabelLock" ma:readOnly="false">
      <xsd:simpleType>
        <xsd:restriction base="dms:Text">
          <xsd:maxLength value="255"/>
        </xsd:restriction>
      </xsd:simpleType>
    </xsd:element>
    <xsd:element name="MediaServiceMetadata" ma:index="33" nillable="true" ma:displayName="MediaServiceMetadata" ma:description="" ma:hidden="true" ma:internalName="MediaServiceMetadata" ma:readOnly="true">
      <xsd:simpleType>
        <xsd:restriction base="dms:Note"/>
      </xsd:simpleType>
    </xsd:element>
    <xsd:element name="MediaServiceFastMetadata" ma:index="34" nillable="true" ma:displayName="MediaServiceFastMetadata" ma:description="" ma:hidden="true" ma:internalName="MediaServiceFastMetadata" ma:readOnly="true">
      <xsd:simpleType>
        <xsd:restriction base="dms:Note"/>
      </xsd:simpleType>
    </xsd:element>
    <xsd:element name="Date" ma:index="38" nillable="true" ma:displayName="Date" ma:format="DateOnly" ma:internalName="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18CBE42-34A6-4F62-9F39-FEACF71BEC0F}">
  <ds:schemaRefs>
    <ds:schemaRef ds:uri="http://schemas.microsoft.com/sharepoint/v3/contenttype/forms"/>
  </ds:schemaRefs>
</ds:datastoreItem>
</file>

<file path=customXml/itemProps2.xml><?xml version="1.0" encoding="utf-8"?>
<ds:datastoreItem xmlns:ds="http://schemas.openxmlformats.org/officeDocument/2006/customXml" ds:itemID="{468FF1CA-7453-4AE8-808D-63AE4427D11E}">
  <ds:schemaRefs>
    <ds:schemaRef ds:uri="office.server.policy"/>
  </ds:schemaRefs>
</ds:datastoreItem>
</file>

<file path=customXml/itemProps3.xml><?xml version="1.0" encoding="utf-8"?>
<ds:datastoreItem xmlns:ds="http://schemas.openxmlformats.org/officeDocument/2006/customXml" ds:itemID="{DAFA8730-963F-428E-8865-C757DD574C94}">
  <ds:schemaRefs>
    <ds:schemaRef ds:uri="Microsoft.SharePoint.Taxonomy.ContentTypeSync"/>
  </ds:schemaRefs>
</ds:datastoreItem>
</file>

<file path=customXml/itemProps4.xml><?xml version="1.0" encoding="utf-8"?>
<ds:datastoreItem xmlns:ds="http://schemas.openxmlformats.org/officeDocument/2006/customXml" ds:itemID="{D56E8F19-B3C8-4281-8968-11D39BF7BCB6}">
  <ds:schemaRefs>
    <ds:schemaRef ds:uri="http://schemas.microsoft.com/office/infopath/2007/PartnerControls"/>
    <ds:schemaRef ds:uri="ce34623b-5c11-4b5b-b0d3-7d70f0a3097a"/>
    <ds:schemaRef ds:uri="http://purl.org/dc/elements/1.1/"/>
    <ds:schemaRef ds:uri="http://schemas.microsoft.com/office/2006/metadata/properties"/>
    <ds:schemaRef ds:uri="http://purl.org/dc/terms/"/>
    <ds:schemaRef ds:uri="5db227b6-3c56-4158-ad71-bd648583e357"/>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5.xml><?xml version="1.0" encoding="utf-8"?>
<ds:datastoreItem xmlns:ds="http://schemas.openxmlformats.org/officeDocument/2006/customXml" ds:itemID="{2C651004-B50A-448A-83F4-0962BC3D19DF}">
  <ds:schemaRefs>
    <ds:schemaRef ds:uri="http://schemas.microsoft.com/office/2006/metadata/longProperties"/>
  </ds:schemaRefs>
</ds:datastoreItem>
</file>

<file path=customXml/itemProps6.xml><?xml version="1.0" encoding="utf-8"?>
<ds:datastoreItem xmlns:ds="http://schemas.openxmlformats.org/officeDocument/2006/customXml" ds:itemID="{2F3302EB-3B0B-46CC-A546-C845647B43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132</vt:i4>
      </vt:variant>
    </vt:vector>
  </HeadingPairs>
  <TitlesOfParts>
    <vt:vector size="135" baseType="lpstr">
      <vt:lpstr>Template administration</vt:lpstr>
      <vt:lpstr>Metrics</vt:lpstr>
      <vt:lpstr>Logging</vt:lpstr>
      <vt:lpstr>_NTC1</vt:lpstr>
      <vt:lpstr>_NTC10</vt:lpstr>
      <vt:lpstr>_NTC11</vt:lpstr>
      <vt:lpstr>_NTC12</vt:lpstr>
      <vt:lpstr>_NTC13</vt:lpstr>
      <vt:lpstr>_NTC14</vt:lpstr>
      <vt:lpstr>_NTC15</vt:lpstr>
      <vt:lpstr>_NTC16</vt:lpstr>
      <vt:lpstr>_NTC17</vt:lpstr>
      <vt:lpstr>_NTC18</vt:lpstr>
      <vt:lpstr>_NTC19</vt:lpstr>
      <vt:lpstr>_NTC2</vt:lpstr>
      <vt:lpstr>_NTC20</vt:lpstr>
      <vt:lpstr>_NTC3</vt:lpstr>
      <vt:lpstr>_NTC4</vt:lpstr>
      <vt:lpstr>_NTC5</vt:lpstr>
      <vt:lpstr>_NTC6</vt:lpstr>
      <vt:lpstr>_NTC7</vt:lpstr>
      <vt:lpstr>_NTC8</vt:lpstr>
      <vt:lpstr>_NTC9</vt:lpstr>
      <vt:lpstr>Author</vt:lpstr>
      <vt:lpstr>BudgetNr</vt:lpstr>
      <vt:lpstr>CountUnit</vt:lpstr>
      <vt:lpstr>DocId</vt:lpstr>
      <vt:lpstr>DocType</vt:lpstr>
      <vt:lpstr>DocVersion</vt:lpstr>
      <vt:lpstr>Effort1</vt:lpstr>
      <vt:lpstr>Effort10</vt:lpstr>
      <vt:lpstr>Effort11</vt:lpstr>
      <vt:lpstr>Effort12</vt:lpstr>
      <vt:lpstr>Effort13</vt:lpstr>
      <vt:lpstr>Effort14</vt:lpstr>
      <vt:lpstr>Effort15</vt:lpstr>
      <vt:lpstr>Effort16</vt:lpstr>
      <vt:lpstr>Effort17</vt:lpstr>
      <vt:lpstr>Effort18</vt:lpstr>
      <vt:lpstr>Effort19</vt:lpstr>
      <vt:lpstr>Effort2</vt:lpstr>
      <vt:lpstr>Effort20</vt:lpstr>
      <vt:lpstr>Effort3</vt:lpstr>
      <vt:lpstr>Effort4</vt:lpstr>
      <vt:lpstr>Effort5</vt:lpstr>
      <vt:lpstr>Effort6</vt:lpstr>
      <vt:lpstr>Effort7</vt:lpstr>
      <vt:lpstr>Effort8</vt:lpstr>
      <vt:lpstr>Effort9</vt:lpstr>
      <vt:lpstr>Focus1</vt:lpstr>
      <vt:lpstr>Focus10</vt:lpstr>
      <vt:lpstr>Focus11</vt:lpstr>
      <vt:lpstr>Focus12</vt:lpstr>
      <vt:lpstr>Focus13</vt:lpstr>
      <vt:lpstr>Focus14</vt:lpstr>
      <vt:lpstr>Focus15</vt:lpstr>
      <vt:lpstr>Focus16</vt:lpstr>
      <vt:lpstr>Focus17</vt:lpstr>
      <vt:lpstr>Focus18</vt:lpstr>
      <vt:lpstr>Focus19</vt:lpstr>
      <vt:lpstr>Focus2</vt:lpstr>
      <vt:lpstr>Focus20</vt:lpstr>
      <vt:lpstr>Focus3</vt:lpstr>
      <vt:lpstr>Focus4</vt:lpstr>
      <vt:lpstr>Focus5</vt:lpstr>
      <vt:lpstr>Focus6</vt:lpstr>
      <vt:lpstr>Focus7</vt:lpstr>
      <vt:lpstr>Focus8</vt:lpstr>
      <vt:lpstr>Focus9</vt:lpstr>
      <vt:lpstr>Initial1</vt:lpstr>
      <vt:lpstr>Initial10</vt:lpstr>
      <vt:lpstr>Initial11</vt:lpstr>
      <vt:lpstr>Initial12</vt:lpstr>
      <vt:lpstr>Initial13</vt:lpstr>
      <vt:lpstr>Initial14</vt:lpstr>
      <vt:lpstr>Initial15</vt:lpstr>
      <vt:lpstr>Initial16</vt:lpstr>
      <vt:lpstr>Initial17</vt:lpstr>
      <vt:lpstr>Initial18</vt:lpstr>
      <vt:lpstr>Initial19</vt:lpstr>
      <vt:lpstr>Initial2</vt:lpstr>
      <vt:lpstr>Initial20</vt:lpstr>
      <vt:lpstr>Initial3</vt:lpstr>
      <vt:lpstr>Initial4</vt:lpstr>
      <vt:lpstr>Initial5</vt:lpstr>
      <vt:lpstr>Initial6</vt:lpstr>
      <vt:lpstr>Initial7</vt:lpstr>
      <vt:lpstr>Initial8</vt:lpstr>
      <vt:lpstr>Initial9</vt:lpstr>
      <vt:lpstr>KickOffDate</vt:lpstr>
      <vt:lpstr>KickOffLocation</vt:lpstr>
      <vt:lpstr>KickOffTime</vt:lpstr>
      <vt:lpstr>Major1</vt:lpstr>
      <vt:lpstr>MaxDensity</vt:lpstr>
      <vt:lpstr>MedDensity</vt:lpstr>
      <vt:lpstr>MeetingDate</vt:lpstr>
      <vt:lpstr>MeetingLocation</vt:lpstr>
      <vt:lpstr>MeetingTime</vt:lpstr>
      <vt:lpstr>MinDensity</vt:lpstr>
      <vt:lpstr>Minor1</vt:lpstr>
      <vt:lpstr>Moderator</vt:lpstr>
      <vt:lpstr>Name1</vt:lpstr>
      <vt:lpstr>Name10</vt:lpstr>
      <vt:lpstr>Name11</vt:lpstr>
      <vt:lpstr>Name12</vt:lpstr>
      <vt:lpstr>Name13</vt:lpstr>
      <vt:lpstr>Name14</vt:lpstr>
      <vt:lpstr>Name15</vt:lpstr>
      <vt:lpstr>Name16</vt:lpstr>
      <vt:lpstr>Name17</vt:lpstr>
      <vt:lpstr>Name18</vt:lpstr>
      <vt:lpstr>Name19</vt:lpstr>
      <vt:lpstr>Name2</vt:lpstr>
      <vt:lpstr>Name20</vt:lpstr>
      <vt:lpstr>Name3</vt:lpstr>
      <vt:lpstr>Name4</vt:lpstr>
      <vt:lpstr>Name5</vt:lpstr>
      <vt:lpstr>Name6</vt:lpstr>
      <vt:lpstr>Name7</vt:lpstr>
      <vt:lpstr>Name8</vt:lpstr>
      <vt:lpstr>Name9</vt:lpstr>
      <vt:lpstr>NameLookup</vt:lpstr>
      <vt:lpstr>Notes</vt:lpstr>
      <vt:lpstr>Page</vt:lpstr>
      <vt:lpstr>Metrics!Print_Area</vt:lpstr>
      <vt:lpstr>Logging!Print_Titles</vt:lpstr>
      <vt:lpstr>Project</vt:lpstr>
      <vt:lpstr>Question1</vt:lpstr>
      <vt:lpstr>ReviewId</vt:lpstr>
      <vt:lpstr>RwSevMajor</vt:lpstr>
      <vt:lpstr>RwSevMinor</vt:lpstr>
      <vt:lpstr>TargetDateRework</vt:lpstr>
      <vt:lpstr>TargetDateVerification</vt:lpstr>
      <vt:lpstr>Title</vt:lpstr>
      <vt:lpstr>Verifier</vt:lpstr>
    </vt:vector>
  </TitlesOfParts>
  <Company>Philips Consumer Electronics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nistelra</dc:creator>
  <cp:lastModifiedBy>Peters, Richard</cp:lastModifiedBy>
  <cp:lastPrinted>2004-08-02T09:06:11Z</cp:lastPrinted>
  <dcterms:created xsi:type="dcterms:W3CDTF">2001-05-17T11:36:21Z</dcterms:created>
  <dcterms:modified xsi:type="dcterms:W3CDTF">2022-02-03T10:38:04Z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Order">
    <vt:lpwstr>9400.00000000000</vt:lpwstr>
  </property>
  <property fmtid="{D5CDD505-2E9C-101B-9397-08002B2CF9AE}" pid="6" name="Validity">
    <vt:lpwstr>Valid</vt:lpwstr>
  </property>
  <property fmtid="{D5CDD505-2E9C-101B-9397-08002B2CF9AE}" pid="7" name="Retention date">
    <vt:lpwstr>5 years</vt:lpwstr>
  </property>
  <property fmtid="{D5CDD505-2E9C-101B-9397-08002B2CF9AE}" pid="8" name="xd_ProgID">
    <vt:lpwstr/>
  </property>
  <property fmtid="{D5CDD505-2E9C-101B-9397-08002B2CF9AE}" pid="9" name="ContentTypeId">
    <vt:lpwstr>0x0101001E9AF57F6A6FB1498E6BAB1704371DB9010015F5EAEEBFC26D419AC26DD0C3AD2666</vt:lpwstr>
  </property>
  <property fmtid="{D5CDD505-2E9C-101B-9397-08002B2CF9AE}" pid="10" name="Aut">
    <vt:lpwstr>0</vt:lpwstr>
  </property>
  <property fmtid="{D5CDD505-2E9C-101B-9397-08002B2CF9AE}" pid="11" name="TemplateUrl">
    <vt:lpwstr/>
  </property>
  <property fmtid="{D5CDD505-2E9C-101B-9397-08002B2CF9AE}" pid="12" name="Form">
    <vt:lpwstr>0</vt:lpwstr>
  </property>
  <property fmtid="{D5CDD505-2E9C-101B-9397-08002B2CF9AE}" pid="13" name="Templates of the process">
    <vt:lpwstr>40</vt:lpwstr>
  </property>
  <property fmtid="{D5CDD505-2E9C-101B-9397-08002B2CF9AE}" pid="14" name="Document author">
    <vt:lpwstr>26</vt:lpwstr>
  </property>
  <property fmtid="{D5CDD505-2E9C-101B-9397-08002B2CF9AE}" pid="15" name="PO">
    <vt:lpwstr>0</vt:lpwstr>
  </property>
  <property fmtid="{D5CDD505-2E9C-101B-9397-08002B2CF9AE}" pid="16" name="Scope">
    <vt:lpwstr>2</vt:lpwstr>
  </property>
  <property fmtid="{D5CDD505-2E9C-101B-9397-08002B2CF9AE}" pid="17" name="Owner">
    <vt:lpwstr>56</vt:lpwstr>
  </property>
  <property fmtid="{D5CDD505-2E9C-101B-9397-08002B2CF9AE}" pid="18" name="Mng">
    <vt:lpwstr>0</vt:lpwstr>
  </property>
  <property fmtid="{D5CDD505-2E9C-101B-9397-08002B2CF9AE}" pid="19" name="QOf">
    <vt:lpwstr>1</vt:lpwstr>
  </property>
  <property fmtid="{D5CDD505-2E9C-101B-9397-08002B2CF9AE}" pid="20" name="Templates of the sub-process">
    <vt:lpwstr>39</vt:lpwstr>
  </property>
  <property fmtid="{D5CDD505-2E9C-101B-9397-08002B2CF9AE}" pid="21" name="xd_Signature">
    <vt:bool>false</vt:bool>
  </property>
  <property fmtid="{D5CDD505-2E9C-101B-9397-08002B2CF9AE}" pid="22" name="Linked to PQRS">
    <vt:bool>false</vt:bool>
  </property>
  <property fmtid="{D5CDD505-2E9C-101B-9397-08002B2CF9AE}" pid="23" name="Belonging to procedure">
    <vt:lpwstr>160</vt:lpwstr>
  </property>
  <property fmtid="{D5CDD505-2E9C-101B-9397-08002B2CF9AE}" pid="24" name="Belonging to sub-process">
    <vt:lpwstr>39</vt:lpwstr>
  </property>
</Properties>
</file>